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GC-INE 7 ENTIDADES\Portal Nayarit\INE OK-NAY\SGC INE Final PDF)\E)Procesos de Soporte\04 Desempeño del Personal\3Formatos\"/>
    </mc:Choice>
  </mc:AlternateContent>
  <bookViews>
    <workbookView xWindow="0" yWindow="0" windowWidth="28800" windowHeight="11730" firstSheet="1"/>
  </bookViews>
  <sheets>
    <sheet name="CONCENTRADO DE DESEMPEÑO" sheetId="1" r:id="rId1"/>
    <sheet name="PUNTUALIDAD" sheetId="2" r:id="rId2"/>
    <sheet name="SERVICIO" sheetId="3" r:id="rId3"/>
    <sheet name="IMAGEN" sheetId="4" r:id="rId4"/>
    <sheet name="NORMATIVO" sheetId="6" r:id="rId5"/>
    <sheet name="PRODUCTIVIDAD" sheetId="5" r:id="rId6"/>
    <sheet name="TESTIGO DE FILTRADO DE CAPTURA" sheetId="7" state="hidden" r:id="rId7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5" l="1"/>
  <c r="I6" i="5"/>
  <c r="G7" i="5"/>
  <c r="J4" i="5"/>
  <c r="H4" i="4"/>
  <c r="H4" i="6"/>
  <c r="G6" i="6"/>
  <c r="G7" i="6"/>
  <c r="F7" i="6"/>
  <c r="G6" i="4"/>
  <c r="G7" i="4"/>
  <c r="F7" i="4"/>
  <c r="H9" i="3"/>
  <c r="F10" i="3"/>
  <c r="L4" i="2"/>
  <c r="I7" i="3" l="1"/>
  <c r="E6" i="5"/>
  <c r="C7" i="5"/>
  <c r="E6" i="6"/>
  <c r="C7" i="6"/>
  <c r="G9" i="3"/>
  <c r="K7" i="2"/>
  <c r="G10" i="3"/>
  <c r="J7" i="2"/>
  <c r="I7" i="2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11" i="6"/>
  <c r="H11" i="6" s="1"/>
  <c r="C8" i="6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11" i="4"/>
  <c r="H11" i="4" s="1"/>
  <c r="C8" i="4"/>
  <c r="D9" i="3"/>
  <c r="C10" i="3"/>
  <c r="C7" i="2"/>
  <c r="F6" i="2"/>
  <c r="E6" i="2"/>
  <c r="F7" i="2"/>
  <c r="G14" i="3"/>
  <c r="G15" i="3"/>
  <c r="G16" i="3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11" i="2"/>
  <c r="H11" i="1" s="1"/>
  <c r="G19" i="1" l="1"/>
  <c r="H19" i="1"/>
  <c r="G15" i="1"/>
  <c r="H15" i="1"/>
  <c r="G22" i="1"/>
  <c r="H22" i="1"/>
  <c r="G18" i="1"/>
  <c r="H18" i="1"/>
  <c r="G14" i="1"/>
  <c r="H14" i="1"/>
  <c r="G23" i="1"/>
  <c r="H23" i="1"/>
  <c r="G25" i="1"/>
  <c r="H25" i="1"/>
  <c r="G21" i="1"/>
  <c r="H21" i="1"/>
  <c r="G17" i="1"/>
  <c r="H17" i="1"/>
  <c r="G13" i="1"/>
  <c r="H13" i="1"/>
  <c r="G24" i="1"/>
  <c r="H24" i="1"/>
  <c r="G20" i="1"/>
  <c r="H20" i="1"/>
  <c r="G16" i="1"/>
  <c r="H16" i="1"/>
  <c r="G12" i="1"/>
  <c r="H12" i="1"/>
  <c r="O2" i="5"/>
  <c r="I2" i="6"/>
  <c r="I2" i="4"/>
  <c r="I5" i="3"/>
  <c r="L2" i="2"/>
  <c r="E7" i="5" l="1"/>
  <c r="E7" i="6"/>
  <c r="E7" i="4"/>
  <c r="D10" i="3"/>
  <c r="E7" i="2"/>
  <c r="B5" i="5"/>
  <c r="B5" i="6"/>
  <c r="K4" i="2"/>
  <c r="B5" i="4"/>
  <c r="B8" i="3"/>
  <c r="G13" i="3" l="1"/>
  <c r="G17" i="3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B11" i="2"/>
  <c r="B7" i="5" l="1"/>
  <c r="M12" i="5"/>
  <c r="N12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O23" i="1" l="1"/>
  <c r="O23" i="5"/>
  <c r="O19" i="1"/>
  <c r="O19" i="5"/>
  <c r="O15" i="1"/>
  <c r="O15" i="5"/>
  <c r="O18" i="1"/>
  <c r="O18" i="5"/>
  <c r="O14" i="1"/>
  <c r="O14" i="5"/>
  <c r="O21" i="1"/>
  <c r="O21" i="5"/>
  <c r="O17" i="1"/>
  <c r="O17" i="5"/>
  <c r="O12" i="1"/>
  <c r="O12" i="5"/>
  <c r="O24" i="1"/>
  <c r="O24" i="5"/>
  <c r="O20" i="1"/>
  <c r="O20" i="5"/>
  <c r="O16" i="1"/>
  <c r="O16" i="5"/>
  <c r="O22" i="1"/>
  <c r="O22" i="5"/>
  <c r="M11" i="5"/>
  <c r="N11" i="5" s="1"/>
  <c r="M13" i="5"/>
  <c r="N13" i="5" s="1"/>
  <c r="O13" i="5" s="1"/>
  <c r="M25" i="5"/>
  <c r="N25" i="5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A5" i="5"/>
  <c r="B4" i="5"/>
  <c r="A4" i="5"/>
  <c r="O25" i="1" l="1"/>
  <c r="O25" i="5"/>
  <c r="O11" i="1"/>
  <c r="O11" i="5"/>
  <c r="P23" i="1"/>
  <c r="P18" i="1"/>
  <c r="O13" i="1"/>
  <c r="P15" i="1"/>
  <c r="P22" i="1"/>
  <c r="P14" i="1"/>
  <c r="P19" i="1"/>
  <c r="P11" i="1"/>
  <c r="P21" i="1"/>
  <c r="P17" i="1"/>
  <c r="P24" i="1"/>
  <c r="P20" i="1"/>
  <c r="P12" i="1"/>
  <c r="P25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11" i="1"/>
  <c r="N14" i="1"/>
  <c r="N18" i="1"/>
  <c r="N22" i="1"/>
  <c r="M15" i="1"/>
  <c r="N11" i="1"/>
  <c r="N25" i="1"/>
  <c r="B25" i="6"/>
  <c r="N24" i="1"/>
  <c r="B24" i="6"/>
  <c r="N23" i="1"/>
  <c r="B23" i="6"/>
  <c r="B22" i="6"/>
  <c r="N21" i="1"/>
  <c r="B21" i="6"/>
  <c r="N20" i="1"/>
  <c r="B20" i="6"/>
  <c r="N19" i="1"/>
  <c r="B19" i="6"/>
  <c r="B18" i="6"/>
  <c r="N17" i="1"/>
  <c r="B17" i="6"/>
  <c r="N16" i="1"/>
  <c r="B16" i="6"/>
  <c r="B15" i="6"/>
  <c r="B14" i="6"/>
  <c r="N13" i="1"/>
  <c r="B13" i="6"/>
  <c r="N12" i="1"/>
  <c r="B12" i="6"/>
  <c r="B11" i="6"/>
  <c r="B7" i="6"/>
  <c r="A5" i="6"/>
  <c r="B4" i="6"/>
  <c r="A4" i="6"/>
  <c r="B7" i="4"/>
  <c r="A5" i="4"/>
  <c r="B4" i="4"/>
  <c r="A4" i="4"/>
  <c r="K11" i="1"/>
  <c r="B7" i="3"/>
  <c r="A7" i="3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P16" i="1" l="1"/>
  <c r="P13" i="1"/>
  <c r="N15" i="1"/>
  <c r="I11" i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L25" i="1"/>
  <c r="B25" i="4"/>
  <c r="B24" i="4"/>
  <c r="B23" i="4"/>
  <c r="B22" i="4"/>
  <c r="L21" i="1"/>
  <c r="B21" i="4"/>
  <c r="B20" i="4"/>
  <c r="B19" i="4"/>
  <c r="B18" i="4"/>
  <c r="L17" i="1"/>
  <c r="B17" i="4"/>
  <c r="B16" i="4"/>
  <c r="B15" i="4"/>
  <c r="B14" i="4"/>
  <c r="L13" i="1"/>
  <c r="B13" i="4"/>
  <c r="B12" i="4"/>
  <c r="B11" i="4"/>
  <c r="C4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G11" i="1"/>
  <c r="L11" i="1" l="1"/>
  <c r="L15" i="1"/>
  <c r="L19" i="1"/>
  <c r="L23" i="1"/>
  <c r="L14" i="1"/>
  <c r="L18" i="1"/>
  <c r="L22" i="1"/>
  <c r="L12" i="1"/>
  <c r="L16" i="1"/>
  <c r="L20" i="1"/>
  <c r="L24" i="1"/>
  <c r="Q12" i="1" l="1"/>
  <c r="Q11" i="1"/>
  <c r="Q13" i="1" l="1"/>
  <c r="Q14" i="1" l="1"/>
  <c r="Q15" i="1" l="1"/>
  <c r="Q16" i="1" l="1"/>
  <c r="Q17" i="1" l="1"/>
  <c r="Q18" i="1" l="1"/>
  <c r="Q19" i="1" l="1"/>
  <c r="Q20" i="1" l="1"/>
  <c r="Q21" i="1" l="1"/>
  <c r="Q22" i="1" l="1"/>
  <c r="Q23" i="1" l="1"/>
  <c r="Q24" i="1" l="1"/>
  <c r="Q25" i="1" l="1"/>
  <c r="Q26" i="1" s="1"/>
</calcChain>
</file>

<file path=xl/sharedStrings.xml><?xml version="1.0" encoding="utf-8"?>
<sst xmlns="http://schemas.openxmlformats.org/spreadsheetml/2006/main" count="183" uniqueCount="96">
  <si>
    <t>No.</t>
  </si>
  <si>
    <t>Nombre</t>
  </si>
  <si>
    <t>Cargo</t>
  </si>
  <si>
    <t>RM</t>
  </si>
  <si>
    <t>OET</t>
  </si>
  <si>
    <t>ACC</t>
  </si>
  <si>
    <t>DMI</t>
  </si>
  <si>
    <t xml:space="preserve">Puntualidad </t>
  </si>
  <si>
    <t>Servicio</t>
  </si>
  <si>
    <t>Imagen</t>
  </si>
  <si>
    <t>Productividad</t>
  </si>
  <si>
    <t>1er</t>
  </si>
  <si>
    <t>Cumplimiento Normativo</t>
  </si>
  <si>
    <t>Puntos</t>
  </si>
  <si>
    <t>Marca con una x</t>
  </si>
  <si>
    <t>Quejas ciudadanas registradas al MAC</t>
  </si>
  <si>
    <t>Observaciones en el uso de indumentaria</t>
  </si>
  <si>
    <t>Firma de conocimiento</t>
  </si>
  <si>
    <t xml:space="preserve">JUNTA LOCAL EJECUTIVA </t>
  </si>
  <si>
    <t xml:space="preserve">Distrito </t>
  </si>
  <si>
    <t>ENE-MAR</t>
  </si>
  <si>
    <t>Responsables de la verificación de desempeño</t>
  </si>
  <si>
    <t>Periodo de verificación</t>
  </si>
  <si>
    <t xml:space="preserve">Vocal Ejecutivo </t>
  </si>
  <si>
    <t>Vocal del Registro Federal de Electores</t>
  </si>
  <si>
    <t>Retardo</t>
  </si>
  <si>
    <t xml:space="preserve">Falta </t>
  </si>
  <si>
    <t>1 er mes</t>
  </si>
  <si>
    <t>2 do mes</t>
  </si>
  <si>
    <t>3 er mes</t>
  </si>
  <si>
    <t>JUNTA LOCAL EJECUTIVA</t>
  </si>
  <si>
    <t>FORMATO DEL FACTOR PUNTUALIDAD</t>
  </si>
  <si>
    <t>1er mes</t>
  </si>
  <si>
    <t>2do mes</t>
  </si>
  <si>
    <t>Mal trato</t>
  </si>
  <si>
    <t>Queja ciudadana</t>
  </si>
  <si>
    <t>Mala orientación</t>
  </si>
  <si>
    <t>Otros</t>
  </si>
  <si>
    <t>Periodo</t>
  </si>
  <si>
    <t>Ponderación</t>
  </si>
  <si>
    <t xml:space="preserve">Capture solo el valor nominal de la frecuencia presentada </t>
  </si>
  <si>
    <t>FORMATO DEL FACTOR SERVICIO</t>
  </si>
  <si>
    <t>FORMATO DEL FACTOR IMAGEN</t>
  </si>
  <si>
    <t>Observaciones: registre el motivo que genero la afectación, en circunstancia de tiempo, modo y lugar; anexe documento de constancia.</t>
  </si>
  <si>
    <t xml:space="preserve">Tiempo total de captura </t>
  </si>
  <si>
    <t>Faltas y retardos registrados</t>
  </si>
  <si>
    <t>Módulo</t>
  </si>
  <si>
    <t xml:space="preserve">Capture solo el  valor nominal de la frecuencia presentada:  1, 2, 3 </t>
  </si>
  <si>
    <t>Vocalía del Registro Federal de Electores</t>
  </si>
  <si>
    <t>Vocal Ejecutivo</t>
  </si>
  <si>
    <t>FORMATO DEL FACTOR DE CUMPLIMIENTO NORMATIVO</t>
  </si>
  <si>
    <t>FORMATO DEL FACTOR PRODUCTIVIDAD</t>
  </si>
  <si>
    <t>Asignación respecto al promedio nacional  7.13 minutos</t>
  </si>
  <si>
    <t>Promedio de captura</t>
  </si>
  <si>
    <t>Considera el rango menor a 8.13 del promedio de captura</t>
  </si>
  <si>
    <t>Considera el rango mayor a  8.14 y menor a 9.13 del promedio de captura</t>
  </si>
  <si>
    <t>Considera el rango mayor a  9.14 y menor a 10.13 del promedio de captura</t>
  </si>
  <si>
    <t>Considera el rango mayor a  10.14 del promedio de captura</t>
  </si>
  <si>
    <t>Capture  valor nominal y dos decimales correspondientes a la columna Tiempo Total del apartado Captura de Trámite del Reporte Nominativo de Atención Ciudadana Solicitud del SIIRFE-MAC</t>
  </si>
  <si>
    <t>Turno</t>
  </si>
  <si>
    <t>La ponderación de desempeño de la productividad corresponde a los siguientes rangos</t>
  </si>
  <si>
    <t>Observación y omisiones de procedimientos</t>
  </si>
  <si>
    <t>Incumplimiento de horarios</t>
  </si>
  <si>
    <t>Registro</t>
  </si>
  <si>
    <t>Observaciones: haga referencia a la fecha y número de reporte emitido por la Dirección de Atención Ciudadana o el medio en el que se recibió la queja ciudadana.</t>
  </si>
  <si>
    <t>El valor de afectación es de (1.00)</t>
  </si>
  <si>
    <t>Afectación falta no justificada (1.00)</t>
  </si>
  <si>
    <t>Afectación de Retardo (0.50)</t>
  </si>
  <si>
    <t>Afectación para observaciones del Factor Imagen (0.50)</t>
  </si>
  <si>
    <t>Afectación para observaciones del Factor de Cumplimiento Normativo (1.50)</t>
  </si>
  <si>
    <t>NOMBRE DEL FUNCIONARIO</t>
  </si>
  <si>
    <t>Mañana</t>
  </si>
  <si>
    <t>X</t>
  </si>
  <si>
    <t>Observaciones: registre el motivo que generó la afectación, en circunstancia de tiempo, modo y lugar; anexe documento de constancia.</t>
  </si>
  <si>
    <t xml:space="preserve">Módulo </t>
  </si>
  <si>
    <t>NAYARIT</t>
  </si>
  <si>
    <t>4 to mes</t>
  </si>
  <si>
    <t>Ponderación Cuatrimestral</t>
  </si>
  <si>
    <t>Primer Cuatrimestre</t>
  </si>
  <si>
    <t xml:space="preserve">Cuatrimestre: </t>
  </si>
  <si>
    <t>Campaña</t>
  </si>
  <si>
    <t>CAP</t>
  </si>
  <si>
    <t>CAI</t>
  </si>
  <si>
    <t>3er mes</t>
  </si>
  <si>
    <t>4to mes</t>
  </si>
  <si>
    <t>2 er mes</t>
  </si>
  <si>
    <t>4 er mes</t>
  </si>
  <si>
    <t>Ponderación por Campaña</t>
  </si>
  <si>
    <t>Indicar la Semana operativa de mayor captación de tramites durante el cuatrimestre</t>
  </si>
  <si>
    <t>Cuatrimistre</t>
  </si>
  <si>
    <t>Promedio</t>
  </si>
  <si>
    <t>Ago-Dic</t>
  </si>
  <si>
    <t>Bitácora de desempeño del personal de Módulos de Atención Ciudadana de la Campaña de Actualización Intensa</t>
  </si>
  <si>
    <t>x</t>
  </si>
  <si>
    <t>Versión: 0</t>
  </si>
  <si>
    <t>Fecha de emisión: 06/03/2020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</si>
</sst>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70066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0" fillId="0" borderId="1" xfId="0" applyBorder="1"/>
    <xf numFmtId="0" fontId="0" fillId="0" borderId="0" xfId="0" applyBorder="1" applyAlignment="1">
      <alignment horizontal="right"/>
    </xf>
    <xf numFmtId="0" fontId="8" fillId="0" borderId="0" xfId="0" applyFont="1"/>
    <xf numFmtId="2" fontId="0" fillId="0" borderId="2" xfId="0" applyNumberForma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Border="1" applyAlignment="1"/>
    <xf numFmtId="2" fontId="7" fillId="0" borderId="2" xfId="0" applyNumberFormat="1" applyFont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/>
    </xf>
    <xf numFmtId="0" fontId="2" fillId="0" borderId="5" xfId="0" applyNumberFormat="1" applyFont="1" applyBorder="1" applyAlignment="1" applyProtection="1">
      <alignment horizontal="center" vertical="center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Protection="1">
      <protection locked="0"/>
    </xf>
    <xf numFmtId="0" fontId="2" fillId="0" borderId="0" xfId="0" applyFont="1" applyAlignment="1">
      <alignment horizontal="right"/>
    </xf>
    <xf numFmtId="0" fontId="8" fillId="0" borderId="0" xfId="0" applyFont="1" applyBorder="1" applyAlignment="1">
      <alignment horizontal="right" vertical="center"/>
    </xf>
    <xf numFmtId="2" fontId="11" fillId="0" borderId="2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3" xfId="0" applyBorder="1" applyAlignment="1">
      <alignment horizontal="center"/>
    </xf>
    <xf numFmtId="0" fontId="7" fillId="0" borderId="4" xfId="0" applyFont="1" applyBorder="1" applyAlignment="1">
      <alignment horizontal="right" wrapText="1"/>
    </xf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6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3399"/>
      <color rgb="FF970066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28574</xdr:rowOff>
    </xdr:from>
    <xdr:to>
      <xdr:col>1</xdr:col>
      <xdr:colOff>1231900</xdr:colOff>
      <xdr:row>2</xdr:row>
      <xdr:rowOff>182879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4"/>
          <a:ext cx="1508125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298450</xdr:colOff>
      <xdr:row>5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508125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927100</xdr:colOff>
      <xdr:row>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showGridLines="0" tabSelected="1" zoomScale="78" zoomScaleNormal="78" workbookViewId="0">
      <selection activeCell="R6" sqref="R6:R7"/>
    </sheetView>
  </sheetViews>
  <sheetFormatPr baseColWidth="10" defaultRowHeight="15" x14ac:dyDescent="0.25"/>
  <cols>
    <col min="1" max="1" width="4.140625" style="1" bestFit="1" customWidth="1"/>
    <col min="2" max="2" width="43" customWidth="1"/>
    <col min="3" max="6" width="4.140625" customWidth="1"/>
    <col min="7" max="13" width="9.140625" customWidth="1"/>
    <col min="14" max="14" width="12.42578125" customWidth="1"/>
    <col min="15" max="16" width="9.140625" customWidth="1"/>
    <col min="17" max="17" width="11.85546875" customWidth="1"/>
    <col min="18" max="18" width="27.140625" customWidth="1"/>
  </cols>
  <sheetData>
    <row r="1" spans="1:18" x14ac:dyDescent="0.25">
      <c r="A1" s="91" t="s">
        <v>18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8" x14ac:dyDescent="0.25">
      <c r="A2" s="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75</v>
      </c>
    </row>
    <row r="3" spans="1:18" x14ac:dyDescent="0.25">
      <c r="A3" s="1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2"/>
      <c r="Q3" s="92"/>
      <c r="R3" s="92"/>
    </row>
    <row r="4" spans="1:18" ht="27" customHeight="1" x14ac:dyDescent="0.25">
      <c r="A4" s="8"/>
      <c r="B4" s="12" t="s">
        <v>19</v>
      </c>
      <c r="C4" s="50">
        <v>1</v>
      </c>
      <c r="D4" s="37"/>
      <c r="E4" s="37"/>
      <c r="F4" s="37"/>
      <c r="G4" s="72" t="s">
        <v>74</v>
      </c>
      <c r="H4" s="51"/>
      <c r="I4" s="38"/>
      <c r="J4" s="42" t="s">
        <v>59</v>
      </c>
      <c r="K4" s="75" t="s">
        <v>71</v>
      </c>
      <c r="L4" s="4"/>
      <c r="M4" s="95" t="s">
        <v>92</v>
      </c>
      <c r="N4" s="95"/>
      <c r="O4" s="95"/>
      <c r="P4" s="95"/>
      <c r="Q4" s="95"/>
      <c r="R4" s="95"/>
    </row>
    <row r="5" spans="1:18" x14ac:dyDescent="0.25">
      <c r="B5" s="11"/>
      <c r="C5" s="9"/>
      <c r="D5" s="9"/>
      <c r="E5" s="4"/>
      <c r="F5" s="4"/>
      <c r="G5" s="69" t="s">
        <v>91</v>
      </c>
      <c r="H5" s="69"/>
      <c r="I5" s="69"/>
      <c r="J5" s="87" t="s">
        <v>81</v>
      </c>
      <c r="K5" s="87"/>
      <c r="L5" s="73" t="s">
        <v>82</v>
      </c>
    </row>
    <row r="6" spans="1:18" ht="18.75" x14ac:dyDescent="0.25">
      <c r="B6" s="3" t="s">
        <v>22</v>
      </c>
      <c r="C6" s="93" t="s">
        <v>79</v>
      </c>
      <c r="D6" s="93"/>
      <c r="E6" s="93"/>
      <c r="F6" s="93"/>
      <c r="G6" s="55" t="s">
        <v>72</v>
      </c>
      <c r="H6" s="55"/>
      <c r="I6" s="55" t="s">
        <v>80</v>
      </c>
      <c r="J6" s="88"/>
      <c r="K6" s="88"/>
      <c r="L6" s="74" t="s">
        <v>93</v>
      </c>
      <c r="N6" s="54">
        <v>2020</v>
      </c>
      <c r="R6" s="81" t="s">
        <v>94</v>
      </c>
    </row>
    <row r="7" spans="1:18" x14ac:dyDescent="0.25">
      <c r="G7" s="94" t="s">
        <v>14</v>
      </c>
      <c r="H7" s="94"/>
      <c r="I7" s="94"/>
      <c r="J7" s="94" t="s">
        <v>14</v>
      </c>
      <c r="K7" s="94"/>
      <c r="L7" s="94"/>
      <c r="M7" s="90"/>
      <c r="N7" s="90"/>
      <c r="R7" s="81" t="s">
        <v>95</v>
      </c>
    </row>
    <row r="8" spans="1:18" ht="14.45" customHeight="1" x14ac:dyDescent="0.25">
      <c r="A8" s="97" t="s">
        <v>0</v>
      </c>
      <c r="B8" s="97" t="s">
        <v>1</v>
      </c>
      <c r="C8" s="97" t="s">
        <v>2</v>
      </c>
      <c r="D8" s="97"/>
      <c r="E8" s="97"/>
      <c r="F8" s="97"/>
      <c r="G8" s="97" t="s">
        <v>7</v>
      </c>
      <c r="H8" s="97"/>
      <c r="I8" s="97" t="s">
        <v>8</v>
      </c>
      <c r="J8" s="97"/>
      <c r="K8" s="97" t="s">
        <v>9</v>
      </c>
      <c r="L8" s="97"/>
      <c r="M8" s="97" t="s">
        <v>12</v>
      </c>
      <c r="N8" s="97"/>
      <c r="O8" s="97" t="s">
        <v>10</v>
      </c>
      <c r="P8" s="97"/>
      <c r="Q8" s="89" t="s">
        <v>87</v>
      </c>
      <c r="R8" s="96" t="s">
        <v>17</v>
      </c>
    </row>
    <row r="9" spans="1:18" ht="30" customHeight="1" x14ac:dyDescent="0.25">
      <c r="A9" s="97"/>
      <c r="B9" s="97"/>
      <c r="C9" s="89" t="s">
        <v>14</v>
      </c>
      <c r="D9" s="89"/>
      <c r="E9" s="89"/>
      <c r="F9" s="89"/>
      <c r="G9" s="89" t="s">
        <v>45</v>
      </c>
      <c r="H9" s="89"/>
      <c r="I9" s="89" t="s">
        <v>15</v>
      </c>
      <c r="J9" s="89"/>
      <c r="K9" s="89" t="s">
        <v>16</v>
      </c>
      <c r="L9" s="89"/>
      <c r="M9" s="89" t="s">
        <v>61</v>
      </c>
      <c r="N9" s="89"/>
      <c r="O9" s="89" t="s">
        <v>44</v>
      </c>
      <c r="P9" s="89"/>
      <c r="Q9" s="89"/>
      <c r="R9" s="96"/>
    </row>
    <row r="10" spans="1:18" x14ac:dyDescent="0.25">
      <c r="A10" s="97"/>
      <c r="B10" s="97"/>
      <c r="C10" s="61" t="s">
        <v>3</v>
      </c>
      <c r="D10" s="61" t="s">
        <v>4</v>
      </c>
      <c r="E10" s="61" t="s">
        <v>5</v>
      </c>
      <c r="F10" s="61" t="s">
        <v>6</v>
      </c>
      <c r="G10" s="62" t="s">
        <v>11</v>
      </c>
      <c r="H10" s="62" t="s">
        <v>13</v>
      </c>
      <c r="I10" s="62" t="s">
        <v>11</v>
      </c>
      <c r="J10" s="62" t="s">
        <v>13</v>
      </c>
      <c r="K10" s="62" t="s">
        <v>11</v>
      </c>
      <c r="L10" s="62" t="s">
        <v>13</v>
      </c>
      <c r="M10" s="62" t="s">
        <v>11</v>
      </c>
      <c r="N10" s="62" t="s">
        <v>13</v>
      </c>
      <c r="O10" s="62" t="s">
        <v>11</v>
      </c>
      <c r="P10" s="62" t="s">
        <v>13</v>
      </c>
      <c r="Q10" s="89"/>
      <c r="R10" s="96"/>
    </row>
    <row r="11" spans="1:18" ht="25.5" customHeight="1" x14ac:dyDescent="0.25">
      <c r="A11" s="18">
        <v>1</v>
      </c>
      <c r="B11" s="43" t="s">
        <v>70</v>
      </c>
      <c r="C11" s="44"/>
      <c r="D11" s="44"/>
      <c r="E11" s="44"/>
      <c r="F11" s="44"/>
      <c r="G11" s="28">
        <f>PUNTUALIDAD!K11</f>
        <v>10</v>
      </c>
      <c r="H11" s="29">
        <f>PUNTUALIDAD!K11</f>
        <v>10</v>
      </c>
      <c r="I11" s="28">
        <f>SERVICIO!G17</f>
        <v>10</v>
      </c>
      <c r="J11" s="29">
        <f>SERVICIO!G17</f>
        <v>10</v>
      </c>
      <c r="K11" s="28">
        <f>IMAGEN!G11</f>
        <v>10</v>
      </c>
      <c r="L11" s="29">
        <f>IMAGEN!H11</f>
        <v>10</v>
      </c>
      <c r="M11" s="28">
        <f>NORMATIVO!G11</f>
        <v>10</v>
      </c>
      <c r="N11" s="29">
        <f>NORMATIVO!H11</f>
        <v>10</v>
      </c>
      <c r="O11" s="28">
        <f>PRODUCTIVIDAD!N11</f>
        <v>10</v>
      </c>
      <c r="P11" s="79">
        <f>PRODUCTIVIDAD!O11</f>
        <v>10</v>
      </c>
      <c r="Q11" s="40">
        <f t="shared" ref="Q11:Q25" si="0">SUM(H11,J11,L11,N11,P11)/5</f>
        <v>10</v>
      </c>
      <c r="R11" s="2"/>
    </row>
    <row r="12" spans="1:18" ht="25.5" customHeight="1" x14ac:dyDescent="0.25">
      <c r="A12" s="18">
        <v>2</v>
      </c>
      <c r="B12" s="43" t="s">
        <v>70</v>
      </c>
      <c r="C12" s="44"/>
      <c r="D12" s="44"/>
      <c r="E12" s="44"/>
      <c r="F12" s="44"/>
      <c r="G12" s="28">
        <f>PUNTUALIDAD!K12</f>
        <v>10</v>
      </c>
      <c r="H12" s="29">
        <f>PUNTUALIDAD!K12</f>
        <v>10</v>
      </c>
      <c r="I12" s="28">
        <f>I11</f>
        <v>10</v>
      </c>
      <c r="J12" s="29">
        <f>J11</f>
        <v>10</v>
      </c>
      <c r="K12" s="28">
        <f>IMAGEN!G12</f>
        <v>10</v>
      </c>
      <c r="L12" s="29">
        <f>IMAGEN!H12</f>
        <v>10</v>
      </c>
      <c r="M12" s="28">
        <f>NORMATIVO!G12</f>
        <v>10</v>
      </c>
      <c r="N12" s="29">
        <f>NORMATIVO!H12</f>
        <v>10</v>
      </c>
      <c r="O12" s="28">
        <f>PRODUCTIVIDAD!N12</f>
        <v>10</v>
      </c>
      <c r="P12" s="79">
        <f>PRODUCTIVIDAD!O12</f>
        <v>10</v>
      </c>
      <c r="Q12" s="40">
        <f t="shared" si="0"/>
        <v>10</v>
      </c>
      <c r="R12" s="2"/>
    </row>
    <row r="13" spans="1:18" ht="25.5" customHeight="1" x14ac:dyDescent="0.25">
      <c r="A13" s="18">
        <v>3</v>
      </c>
      <c r="B13" s="43" t="s">
        <v>70</v>
      </c>
      <c r="C13" s="44"/>
      <c r="D13" s="44"/>
      <c r="E13" s="44"/>
      <c r="F13" s="44"/>
      <c r="G13" s="28">
        <f>PUNTUALIDAD!K13</f>
        <v>10</v>
      </c>
      <c r="H13" s="29">
        <f>PUNTUALIDAD!K13</f>
        <v>10</v>
      </c>
      <c r="I13" s="28">
        <f t="shared" ref="I13:I25" si="1">I12</f>
        <v>10</v>
      </c>
      <c r="J13" s="29">
        <f t="shared" ref="J13:J25" si="2">J12</f>
        <v>10</v>
      </c>
      <c r="K13" s="28">
        <f>IMAGEN!G13</f>
        <v>10</v>
      </c>
      <c r="L13" s="29">
        <f>IMAGEN!H13</f>
        <v>10</v>
      </c>
      <c r="M13" s="28">
        <f>NORMATIVO!G13</f>
        <v>10</v>
      </c>
      <c r="N13" s="29">
        <f>NORMATIVO!H13</f>
        <v>10</v>
      </c>
      <c r="O13" s="28">
        <f>PRODUCTIVIDAD!N13</f>
        <v>10</v>
      </c>
      <c r="P13" s="79">
        <f>PRODUCTIVIDAD!O13</f>
        <v>10</v>
      </c>
      <c r="Q13" s="40">
        <f t="shared" si="0"/>
        <v>10</v>
      </c>
      <c r="R13" s="2"/>
    </row>
    <row r="14" spans="1:18" ht="25.5" customHeight="1" x14ac:dyDescent="0.25">
      <c r="A14" s="18">
        <v>4</v>
      </c>
      <c r="B14" s="43" t="s">
        <v>70</v>
      </c>
      <c r="C14" s="44"/>
      <c r="D14" s="44"/>
      <c r="E14" s="44"/>
      <c r="F14" s="44"/>
      <c r="G14" s="28">
        <f>PUNTUALIDAD!K14</f>
        <v>10</v>
      </c>
      <c r="H14" s="29">
        <f>PUNTUALIDAD!K14</f>
        <v>10</v>
      </c>
      <c r="I14" s="28">
        <f t="shared" si="1"/>
        <v>10</v>
      </c>
      <c r="J14" s="29">
        <f t="shared" si="2"/>
        <v>10</v>
      </c>
      <c r="K14" s="28">
        <f>IMAGEN!G14</f>
        <v>10</v>
      </c>
      <c r="L14" s="29">
        <f>IMAGEN!H14</f>
        <v>10</v>
      </c>
      <c r="M14" s="28">
        <f>NORMATIVO!G14</f>
        <v>10</v>
      </c>
      <c r="N14" s="29">
        <f>NORMATIVO!H14</f>
        <v>10</v>
      </c>
      <c r="O14" s="28">
        <f>PRODUCTIVIDAD!N14</f>
        <v>10</v>
      </c>
      <c r="P14" s="79">
        <f>PRODUCTIVIDAD!O14</f>
        <v>10</v>
      </c>
      <c r="Q14" s="40">
        <f t="shared" si="0"/>
        <v>10</v>
      </c>
      <c r="R14" s="2"/>
    </row>
    <row r="15" spans="1:18" ht="25.5" customHeight="1" x14ac:dyDescent="0.25">
      <c r="A15" s="18">
        <v>5</v>
      </c>
      <c r="B15" s="43" t="s">
        <v>70</v>
      </c>
      <c r="C15" s="44"/>
      <c r="D15" s="44"/>
      <c r="E15" s="44"/>
      <c r="F15" s="44"/>
      <c r="G15" s="28">
        <f>PUNTUALIDAD!K15</f>
        <v>10</v>
      </c>
      <c r="H15" s="29">
        <f>PUNTUALIDAD!K15</f>
        <v>10</v>
      </c>
      <c r="I15" s="28">
        <f t="shared" si="1"/>
        <v>10</v>
      </c>
      <c r="J15" s="29">
        <f t="shared" si="2"/>
        <v>10</v>
      </c>
      <c r="K15" s="28">
        <f>IMAGEN!G15</f>
        <v>10</v>
      </c>
      <c r="L15" s="29">
        <f>IMAGEN!H15</f>
        <v>10</v>
      </c>
      <c r="M15" s="28">
        <f>NORMATIVO!G15</f>
        <v>10</v>
      </c>
      <c r="N15" s="29">
        <f>NORMATIVO!H15</f>
        <v>10</v>
      </c>
      <c r="O15" s="28">
        <f>PRODUCTIVIDAD!N15</f>
        <v>10</v>
      </c>
      <c r="P15" s="79">
        <f>PRODUCTIVIDAD!O15</f>
        <v>10</v>
      </c>
      <c r="Q15" s="40">
        <f t="shared" si="0"/>
        <v>10</v>
      </c>
      <c r="R15" s="2"/>
    </row>
    <row r="16" spans="1:18" ht="25.5" customHeight="1" x14ac:dyDescent="0.25">
      <c r="A16" s="18">
        <v>6</v>
      </c>
      <c r="B16" s="43" t="s">
        <v>70</v>
      </c>
      <c r="C16" s="44"/>
      <c r="D16" s="44"/>
      <c r="E16" s="44"/>
      <c r="F16" s="44"/>
      <c r="G16" s="28">
        <f>PUNTUALIDAD!K16</f>
        <v>10</v>
      </c>
      <c r="H16" s="29">
        <f>PUNTUALIDAD!K16</f>
        <v>10</v>
      </c>
      <c r="I16" s="28">
        <f t="shared" si="1"/>
        <v>10</v>
      </c>
      <c r="J16" s="29">
        <f t="shared" si="2"/>
        <v>10</v>
      </c>
      <c r="K16" s="28">
        <f>IMAGEN!G16</f>
        <v>10</v>
      </c>
      <c r="L16" s="29">
        <f>IMAGEN!H16</f>
        <v>10</v>
      </c>
      <c r="M16" s="28">
        <f>NORMATIVO!G16</f>
        <v>10</v>
      </c>
      <c r="N16" s="29">
        <f>NORMATIVO!H16</f>
        <v>10</v>
      </c>
      <c r="O16" s="28">
        <f>PRODUCTIVIDAD!N16</f>
        <v>10</v>
      </c>
      <c r="P16" s="79">
        <f>PRODUCTIVIDAD!O16</f>
        <v>10</v>
      </c>
      <c r="Q16" s="40">
        <f t="shared" si="0"/>
        <v>10</v>
      </c>
      <c r="R16" s="2"/>
    </row>
    <row r="17" spans="1:18" ht="25.5" customHeight="1" x14ac:dyDescent="0.25">
      <c r="A17" s="18">
        <v>7</v>
      </c>
      <c r="B17" s="43" t="s">
        <v>70</v>
      </c>
      <c r="C17" s="44"/>
      <c r="D17" s="44"/>
      <c r="E17" s="44"/>
      <c r="F17" s="44"/>
      <c r="G17" s="28">
        <f>PUNTUALIDAD!K17</f>
        <v>10</v>
      </c>
      <c r="H17" s="29">
        <f>PUNTUALIDAD!K17</f>
        <v>10</v>
      </c>
      <c r="I17" s="28">
        <f t="shared" si="1"/>
        <v>10</v>
      </c>
      <c r="J17" s="29">
        <f t="shared" si="2"/>
        <v>10</v>
      </c>
      <c r="K17" s="28">
        <f>IMAGEN!G17</f>
        <v>10</v>
      </c>
      <c r="L17" s="29">
        <f>IMAGEN!H17</f>
        <v>10</v>
      </c>
      <c r="M17" s="28">
        <f>NORMATIVO!G17</f>
        <v>10</v>
      </c>
      <c r="N17" s="29">
        <f>NORMATIVO!H17</f>
        <v>10</v>
      </c>
      <c r="O17" s="28">
        <f>PRODUCTIVIDAD!N17</f>
        <v>10</v>
      </c>
      <c r="P17" s="79">
        <f>PRODUCTIVIDAD!O17</f>
        <v>10</v>
      </c>
      <c r="Q17" s="40">
        <f t="shared" si="0"/>
        <v>10</v>
      </c>
      <c r="R17" s="2"/>
    </row>
    <row r="18" spans="1:18" ht="25.5" customHeight="1" x14ac:dyDescent="0.25">
      <c r="A18" s="18">
        <v>8</v>
      </c>
      <c r="B18" s="43" t="s">
        <v>70</v>
      </c>
      <c r="C18" s="44"/>
      <c r="D18" s="44"/>
      <c r="E18" s="44"/>
      <c r="F18" s="44"/>
      <c r="G18" s="28">
        <f>PUNTUALIDAD!K18</f>
        <v>10</v>
      </c>
      <c r="H18" s="29">
        <f>PUNTUALIDAD!K18</f>
        <v>10</v>
      </c>
      <c r="I18" s="28">
        <f t="shared" si="1"/>
        <v>10</v>
      </c>
      <c r="J18" s="29">
        <f t="shared" si="2"/>
        <v>10</v>
      </c>
      <c r="K18" s="28">
        <f>IMAGEN!G18</f>
        <v>10</v>
      </c>
      <c r="L18" s="29">
        <f>IMAGEN!H18</f>
        <v>10</v>
      </c>
      <c r="M18" s="28">
        <f>NORMATIVO!G18</f>
        <v>10</v>
      </c>
      <c r="N18" s="29">
        <f>NORMATIVO!H18</f>
        <v>10</v>
      </c>
      <c r="O18" s="28">
        <f>PRODUCTIVIDAD!N18</f>
        <v>10</v>
      </c>
      <c r="P18" s="79">
        <f>PRODUCTIVIDAD!O18</f>
        <v>10</v>
      </c>
      <c r="Q18" s="40">
        <f t="shared" si="0"/>
        <v>10</v>
      </c>
      <c r="R18" s="2"/>
    </row>
    <row r="19" spans="1:18" ht="25.5" customHeight="1" x14ac:dyDescent="0.25">
      <c r="A19" s="18">
        <v>9</v>
      </c>
      <c r="B19" s="43" t="s">
        <v>70</v>
      </c>
      <c r="C19" s="44"/>
      <c r="D19" s="44"/>
      <c r="E19" s="44"/>
      <c r="F19" s="44"/>
      <c r="G19" s="28">
        <f>PUNTUALIDAD!K19</f>
        <v>10</v>
      </c>
      <c r="H19" s="29">
        <f>PUNTUALIDAD!K19</f>
        <v>10</v>
      </c>
      <c r="I19" s="28">
        <f t="shared" si="1"/>
        <v>10</v>
      </c>
      <c r="J19" s="29">
        <f t="shared" si="2"/>
        <v>10</v>
      </c>
      <c r="K19" s="28">
        <f>IMAGEN!G19</f>
        <v>10</v>
      </c>
      <c r="L19" s="29">
        <f>IMAGEN!H19</f>
        <v>10</v>
      </c>
      <c r="M19" s="28">
        <f>NORMATIVO!G19</f>
        <v>10</v>
      </c>
      <c r="N19" s="29">
        <f>NORMATIVO!H19</f>
        <v>10</v>
      </c>
      <c r="O19" s="28">
        <f>PRODUCTIVIDAD!N19</f>
        <v>10</v>
      </c>
      <c r="P19" s="79">
        <f>PRODUCTIVIDAD!O19</f>
        <v>10</v>
      </c>
      <c r="Q19" s="40">
        <f t="shared" si="0"/>
        <v>10</v>
      </c>
      <c r="R19" s="2"/>
    </row>
    <row r="20" spans="1:18" ht="25.5" customHeight="1" x14ac:dyDescent="0.25">
      <c r="A20" s="18">
        <v>10</v>
      </c>
      <c r="B20" s="43" t="s">
        <v>70</v>
      </c>
      <c r="C20" s="44"/>
      <c r="D20" s="44"/>
      <c r="E20" s="44"/>
      <c r="F20" s="44"/>
      <c r="G20" s="28">
        <f>PUNTUALIDAD!K20</f>
        <v>10</v>
      </c>
      <c r="H20" s="29">
        <f>PUNTUALIDAD!K20</f>
        <v>10</v>
      </c>
      <c r="I20" s="28">
        <f t="shared" si="1"/>
        <v>10</v>
      </c>
      <c r="J20" s="29">
        <f t="shared" si="2"/>
        <v>10</v>
      </c>
      <c r="K20" s="28">
        <f>IMAGEN!G20</f>
        <v>10</v>
      </c>
      <c r="L20" s="29">
        <f>IMAGEN!H20</f>
        <v>10</v>
      </c>
      <c r="M20" s="28">
        <f>NORMATIVO!G20</f>
        <v>10</v>
      </c>
      <c r="N20" s="29">
        <f>NORMATIVO!H20</f>
        <v>10</v>
      </c>
      <c r="O20" s="28">
        <f>PRODUCTIVIDAD!N20</f>
        <v>10</v>
      </c>
      <c r="P20" s="79">
        <f>PRODUCTIVIDAD!O20</f>
        <v>10</v>
      </c>
      <c r="Q20" s="40">
        <f t="shared" si="0"/>
        <v>10</v>
      </c>
      <c r="R20" s="2"/>
    </row>
    <row r="21" spans="1:18" ht="25.5" customHeight="1" x14ac:dyDescent="0.25">
      <c r="A21" s="18">
        <v>11</v>
      </c>
      <c r="B21" s="43" t="s">
        <v>70</v>
      </c>
      <c r="C21" s="44"/>
      <c r="D21" s="44"/>
      <c r="E21" s="44"/>
      <c r="F21" s="44"/>
      <c r="G21" s="28">
        <f>PUNTUALIDAD!K21</f>
        <v>10</v>
      </c>
      <c r="H21" s="29">
        <f>PUNTUALIDAD!K21</f>
        <v>10</v>
      </c>
      <c r="I21" s="28">
        <f t="shared" si="1"/>
        <v>10</v>
      </c>
      <c r="J21" s="29">
        <f t="shared" si="2"/>
        <v>10</v>
      </c>
      <c r="K21" s="28">
        <f>IMAGEN!G21</f>
        <v>10</v>
      </c>
      <c r="L21" s="29">
        <f>IMAGEN!H21</f>
        <v>10</v>
      </c>
      <c r="M21" s="28">
        <f>NORMATIVO!G21</f>
        <v>10</v>
      </c>
      <c r="N21" s="29">
        <f>NORMATIVO!H21</f>
        <v>10</v>
      </c>
      <c r="O21" s="28">
        <f>PRODUCTIVIDAD!N21</f>
        <v>10</v>
      </c>
      <c r="P21" s="79">
        <f>PRODUCTIVIDAD!O21</f>
        <v>10</v>
      </c>
      <c r="Q21" s="40">
        <f t="shared" si="0"/>
        <v>10</v>
      </c>
      <c r="R21" s="2"/>
    </row>
    <row r="22" spans="1:18" ht="25.5" customHeight="1" x14ac:dyDescent="0.25">
      <c r="A22" s="18">
        <v>12</v>
      </c>
      <c r="B22" s="43" t="s">
        <v>70</v>
      </c>
      <c r="C22" s="44"/>
      <c r="D22" s="44"/>
      <c r="E22" s="44"/>
      <c r="F22" s="44"/>
      <c r="G22" s="28">
        <f>PUNTUALIDAD!K22</f>
        <v>10</v>
      </c>
      <c r="H22" s="29">
        <f>PUNTUALIDAD!K22</f>
        <v>10</v>
      </c>
      <c r="I22" s="28">
        <f t="shared" si="1"/>
        <v>10</v>
      </c>
      <c r="J22" s="29">
        <f t="shared" si="2"/>
        <v>10</v>
      </c>
      <c r="K22" s="28">
        <f>IMAGEN!G22</f>
        <v>10</v>
      </c>
      <c r="L22" s="29">
        <f>IMAGEN!H22</f>
        <v>10</v>
      </c>
      <c r="M22" s="28">
        <f>NORMATIVO!G22</f>
        <v>10</v>
      </c>
      <c r="N22" s="29">
        <f>NORMATIVO!H22</f>
        <v>10</v>
      </c>
      <c r="O22" s="28">
        <f>PRODUCTIVIDAD!N22</f>
        <v>10</v>
      </c>
      <c r="P22" s="79">
        <f>PRODUCTIVIDAD!O22</f>
        <v>10</v>
      </c>
      <c r="Q22" s="40">
        <f t="shared" si="0"/>
        <v>10</v>
      </c>
      <c r="R22" s="2"/>
    </row>
    <row r="23" spans="1:18" ht="25.5" customHeight="1" x14ac:dyDescent="0.25">
      <c r="A23" s="18">
        <v>13</v>
      </c>
      <c r="B23" s="43" t="s">
        <v>70</v>
      </c>
      <c r="C23" s="44"/>
      <c r="D23" s="44"/>
      <c r="E23" s="44"/>
      <c r="F23" s="44"/>
      <c r="G23" s="28">
        <f>PUNTUALIDAD!K23</f>
        <v>10</v>
      </c>
      <c r="H23" s="29">
        <f>PUNTUALIDAD!K23</f>
        <v>10</v>
      </c>
      <c r="I23" s="28">
        <f t="shared" si="1"/>
        <v>10</v>
      </c>
      <c r="J23" s="29">
        <f t="shared" si="2"/>
        <v>10</v>
      </c>
      <c r="K23" s="28">
        <f>IMAGEN!G23</f>
        <v>10</v>
      </c>
      <c r="L23" s="29">
        <f>IMAGEN!H23</f>
        <v>10</v>
      </c>
      <c r="M23" s="28">
        <f>NORMATIVO!G23</f>
        <v>10</v>
      </c>
      <c r="N23" s="29">
        <f>NORMATIVO!H23</f>
        <v>10</v>
      </c>
      <c r="O23" s="28">
        <f>PRODUCTIVIDAD!N23</f>
        <v>10</v>
      </c>
      <c r="P23" s="79">
        <f>PRODUCTIVIDAD!O23</f>
        <v>10</v>
      </c>
      <c r="Q23" s="40">
        <f t="shared" si="0"/>
        <v>10</v>
      </c>
      <c r="R23" s="2"/>
    </row>
    <row r="24" spans="1:18" ht="25.5" customHeight="1" x14ac:dyDescent="0.25">
      <c r="A24" s="18">
        <v>14</v>
      </c>
      <c r="B24" s="43" t="s">
        <v>70</v>
      </c>
      <c r="C24" s="44"/>
      <c r="D24" s="44"/>
      <c r="E24" s="44"/>
      <c r="F24" s="44"/>
      <c r="G24" s="28">
        <f>PUNTUALIDAD!K24</f>
        <v>10</v>
      </c>
      <c r="H24" s="29">
        <f>PUNTUALIDAD!K24</f>
        <v>10</v>
      </c>
      <c r="I24" s="28">
        <f t="shared" si="1"/>
        <v>10</v>
      </c>
      <c r="J24" s="29">
        <f t="shared" si="2"/>
        <v>10</v>
      </c>
      <c r="K24" s="28">
        <f>IMAGEN!G24</f>
        <v>10</v>
      </c>
      <c r="L24" s="29">
        <f>IMAGEN!H24</f>
        <v>10</v>
      </c>
      <c r="M24" s="28">
        <f>NORMATIVO!G24</f>
        <v>10</v>
      </c>
      <c r="N24" s="29">
        <f>NORMATIVO!H24</f>
        <v>10</v>
      </c>
      <c r="O24" s="28">
        <f>PRODUCTIVIDAD!N24</f>
        <v>10</v>
      </c>
      <c r="P24" s="79">
        <f>PRODUCTIVIDAD!O24</f>
        <v>10</v>
      </c>
      <c r="Q24" s="40">
        <f t="shared" si="0"/>
        <v>10</v>
      </c>
      <c r="R24" s="2"/>
    </row>
    <row r="25" spans="1:18" ht="25.5" customHeight="1" x14ac:dyDescent="0.25">
      <c r="A25" s="18">
        <v>15</v>
      </c>
      <c r="B25" s="43" t="s">
        <v>70</v>
      </c>
      <c r="C25" s="44"/>
      <c r="D25" s="44"/>
      <c r="E25" s="44"/>
      <c r="F25" s="44"/>
      <c r="G25" s="28">
        <f>PUNTUALIDAD!K25</f>
        <v>10</v>
      </c>
      <c r="H25" s="29">
        <f>PUNTUALIDAD!K25</f>
        <v>10</v>
      </c>
      <c r="I25" s="28">
        <f t="shared" si="1"/>
        <v>10</v>
      </c>
      <c r="J25" s="29">
        <f t="shared" si="2"/>
        <v>10</v>
      </c>
      <c r="K25" s="28">
        <f>IMAGEN!G25</f>
        <v>10</v>
      </c>
      <c r="L25" s="29">
        <f>IMAGEN!H25</f>
        <v>10</v>
      </c>
      <c r="M25" s="28">
        <f>NORMATIVO!G25</f>
        <v>10</v>
      </c>
      <c r="N25" s="29">
        <f>NORMATIVO!H25</f>
        <v>10</v>
      </c>
      <c r="O25" s="28">
        <f>PRODUCTIVIDAD!N25</f>
        <v>10</v>
      </c>
      <c r="P25" s="79">
        <f>PRODUCTIVIDAD!O25</f>
        <v>10</v>
      </c>
      <c r="Q25" s="40">
        <f t="shared" si="0"/>
        <v>10</v>
      </c>
      <c r="R25" s="2"/>
    </row>
    <row r="26" spans="1:18" ht="15.75" x14ac:dyDescent="0.25">
      <c r="P26" s="80" t="s">
        <v>90</v>
      </c>
      <c r="Q26" s="40">
        <f>AVERAGE(Q11:Q25)</f>
        <v>10</v>
      </c>
    </row>
    <row r="27" spans="1:18" x14ac:dyDescent="0.25">
      <c r="A27" s="90" t="s">
        <v>21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</row>
    <row r="28" spans="1:18" x14ac:dyDescent="0.25">
      <c r="B28" s="14"/>
    </row>
    <row r="31" spans="1:18" x14ac:dyDescent="0.25">
      <c r="C31" s="85"/>
      <c r="D31" s="85"/>
      <c r="E31" s="85"/>
      <c r="F31" s="85"/>
      <c r="G31" s="85"/>
      <c r="H31" s="85"/>
      <c r="K31" s="86"/>
      <c r="L31" s="86"/>
      <c r="M31" s="86"/>
    </row>
    <row r="32" spans="1:18" x14ac:dyDescent="0.25">
      <c r="C32" s="84" t="s">
        <v>23</v>
      </c>
      <c r="D32" s="84"/>
      <c r="E32" s="84"/>
      <c r="F32" s="84"/>
      <c r="G32" s="84"/>
      <c r="H32" s="84"/>
      <c r="K32" s="84" t="s">
        <v>24</v>
      </c>
      <c r="L32" s="84"/>
      <c r="M32" s="84"/>
    </row>
  </sheetData>
  <dataConsolidate/>
  <mergeCells count="30">
    <mergeCell ref="A8:A10"/>
    <mergeCell ref="G8:H8"/>
    <mergeCell ref="I8:J8"/>
    <mergeCell ref="K8:L8"/>
    <mergeCell ref="J7:L7"/>
    <mergeCell ref="A1:R1"/>
    <mergeCell ref="P3:R3"/>
    <mergeCell ref="C6:F6"/>
    <mergeCell ref="G7:I7"/>
    <mergeCell ref="A27:R27"/>
    <mergeCell ref="M4:R4"/>
    <mergeCell ref="R8:R10"/>
    <mergeCell ref="Q8:Q10"/>
    <mergeCell ref="M8:N8"/>
    <mergeCell ref="O8:P8"/>
    <mergeCell ref="I9:J9"/>
    <mergeCell ref="K9:L9"/>
    <mergeCell ref="M9:N9"/>
    <mergeCell ref="O9:P9"/>
    <mergeCell ref="C8:F8"/>
    <mergeCell ref="B8:B10"/>
    <mergeCell ref="C32:H32"/>
    <mergeCell ref="K32:M32"/>
    <mergeCell ref="C31:H31"/>
    <mergeCell ref="K31:M31"/>
    <mergeCell ref="J5:K5"/>
    <mergeCell ref="J6:K6"/>
    <mergeCell ref="G9:H9"/>
    <mergeCell ref="C9:F9"/>
    <mergeCell ref="M7:N7"/>
  </mergeCells>
  <conditionalFormatting sqref="Q11:Q25">
    <cfRule type="cellIs" dxfId="5" priority="4" operator="between">
      <formula>0</formula>
      <formula>7.99</formula>
    </cfRule>
    <cfRule type="cellIs" dxfId="4" priority="5" operator="between">
      <formula>8</formula>
      <formula>8.99</formula>
    </cfRule>
    <cfRule type="cellIs" dxfId="3" priority="6" operator="between">
      <formula>10</formula>
      <formula>9</formula>
    </cfRule>
  </conditionalFormatting>
  <conditionalFormatting sqref="Q26">
    <cfRule type="cellIs" dxfId="2" priority="1" operator="between">
      <formula>0</formula>
      <formula>7.99</formula>
    </cfRule>
    <cfRule type="cellIs" dxfId="1" priority="2" operator="between">
      <formula>8</formula>
      <formula>8.99</formula>
    </cfRule>
    <cfRule type="cellIs" dxfId="0" priority="3" operator="between">
      <formula>10</formula>
      <formula>9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showGridLines="0" tabSelected="1" zoomScale="77" zoomScaleNormal="77" workbookViewId="0">
      <selection activeCell="R6" sqref="R6:R7"/>
    </sheetView>
  </sheetViews>
  <sheetFormatPr baseColWidth="10" defaultRowHeight="15" x14ac:dyDescent="0.25"/>
  <cols>
    <col min="2" max="2" width="42.42578125" customWidth="1"/>
    <col min="3" max="3" width="6.42578125" customWidth="1"/>
    <col min="4" max="4" width="7.28515625" customWidth="1"/>
    <col min="5" max="6" width="9" customWidth="1"/>
    <col min="7" max="10" width="6.42578125" customWidth="1"/>
    <col min="11" max="11" width="12.7109375" customWidth="1"/>
    <col min="12" max="12" width="49.28515625" customWidth="1"/>
  </cols>
  <sheetData>
    <row r="1" spans="1:12" x14ac:dyDescent="0.25">
      <c r="L1" s="3" t="s">
        <v>30</v>
      </c>
    </row>
    <row r="2" spans="1:12" x14ac:dyDescent="0.25">
      <c r="L2" s="3" t="str">
        <f>'CONCENTRADO DE DESEMPEÑO'!R2</f>
        <v>NAYARIT</v>
      </c>
    </row>
    <row r="3" spans="1:12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 t="s">
        <v>48</v>
      </c>
    </row>
    <row r="4" spans="1:12" ht="43.15" customHeight="1" x14ac:dyDescent="0.25">
      <c r="B4" s="23" t="s">
        <v>19</v>
      </c>
      <c r="C4" s="36">
        <f>'CONCENTRADO DE DESEMPEÑO'!C4:F4</f>
        <v>1</v>
      </c>
      <c r="D4" s="36"/>
      <c r="E4" s="36"/>
      <c r="F4" s="36"/>
      <c r="G4" s="36"/>
      <c r="H4" s="36"/>
      <c r="I4" s="99" t="s">
        <v>74</v>
      </c>
      <c r="J4" s="99"/>
      <c r="K4" s="36">
        <f>'CONCENTRADO DE DESEMPEÑO'!H4</f>
        <v>0</v>
      </c>
      <c r="L4" s="76" t="str">
        <f>'CONCENTRADO DE DESEMPEÑO'!M4</f>
        <v>Bitácora de desempeño del personal de Módulos de Atención Ciudadana de la Campaña de Actualización Intensa</v>
      </c>
    </row>
    <row r="5" spans="1:12" ht="18.75" x14ac:dyDescent="0.25">
      <c r="B5" s="82"/>
      <c r="C5" s="36"/>
      <c r="D5" s="36"/>
      <c r="E5" s="36"/>
      <c r="F5" s="36"/>
      <c r="G5" s="36"/>
      <c r="H5" s="36"/>
      <c r="I5" s="82"/>
      <c r="J5" s="82"/>
      <c r="K5" s="36"/>
      <c r="L5" s="124" t="s">
        <v>31</v>
      </c>
    </row>
    <row r="6" spans="1:12" x14ac:dyDescent="0.25">
      <c r="B6" s="11"/>
      <c r="C6" s="9"/>
      <c r="D6" s="9"/>
      <c r="E6" s="69" t="str">
        <f>'CONCENTRADO DE DESEMPEÑO'!G5</f>
        <v>Ago-Dic</v>
      </c>
      <c r="F6" s="69" t="e">
        <f>'CONCENTRADO DE DESEMPEÑO'!#REF!</f>
        <v>#REF!</v>
      </c>
      <c r="G6" s="69"/>
      <c r="H6" s="69"/>
      <c r="I6" s="69"/>
      <c r="J6" s="69"/>
      <c r="K6" s="4"/>
      <c r="L6" s="81" t="s">
        <v>94</v>
      </c>
    </row>
    <row r="7" spans="1:12" x14ac:dyDescent="0.25">
      <c r="B7" s="3" t="s">
        <v>22</v>
      </c>
      <c r="C7" s="98" t="str">
        <f>'CONCENTRADO DE DESEMPEÑO'!C6:F6</f>
        <v xml:space="preserve">Cuatrimestre: </v>
      </c>
      <c r="D7" s="98"/>
      <c r="E7" s="58" t="str">
        <f>IF('CONCENTRADO DE DESEMPEÑO'!G6 = 0,"",'CONCENTRADO DE DESEMPEÑO'!G6)</f>
        <v>X</v>
      </c>
      <c r="F7" s="58" t="e">
        <f>IF('CONCENTRADO DE DESEMPEÑO'!#REF! = 0,"",'CONCENTRADO DE DESEMPEÑO'!#REF!)</f>
        <v>#REF!</v>
      </c>
      <c r="G7" s="58"/>
      <c r="H7" s="58"/>
      <c r="I7" s="58" t="str">
        <f>IF('CONCENTRADO DE DESEMPEÑO'!H6 = 0,"",'CONCENTRADO DE DESEMPEÑO'!H6)</f>
        <v/>
      </c>
      <c r="J7" s="58" t="str">
        <f>IF('CONCENTRADO DE DESEMPEÑO'!I6 = 0,"",'CONCENTRADO DE DESEMPEÑO'!I6)</f>
        <v>Campaña</v>
      </c>
      <c r="K7" s="68" t="e">
        <f>'CONCENTRADO DE DESEMPEÑO'!#REF!</f>
        <v>#REF!</v>
      </c>
      <c r="L7" s="81" t="s">
        <v>95</v>
      </c>
    </row>
    <row r="8" spans="1:12" ht="14.45" customHeight="1" x14ac:dyDescent="0.25">
      <c r="A8" s="97" t="s">
        <v>0</v>
      </c>
      <c r="B8" s="97" t="s">
        <v>1</v>
      </c>
      <c r="C8" s="101" t="s">
        <v>78</v>
      </c>
      <c r="D8" s="101"/>
      <c r="E8" s="101"/>
      <c r="F8" s="101"/>
      <c r="G8" s="101"/>
      <c r="H8" s="101"/>
      <c r="I8" s="101"/>
      <c r="J8" s="101"/>
      <c r="K8" s="96" t="s">
        <v>77</v>
      </c>
      <c r="L8" s="96" t="s">
        <v>17</v>
      </c>
    </row>
    <row r="9" spans="1:12" x14ac:dyDescent="0.25">
      <c r="A9" s="97"/>
      <c r="B9" s="97"/>
      <c r="C9" s="97" t="s">
        <v>27</v>
      </c>
      <c r="D9" s="97"/>
      <c r="E9" s="97" t="s">
        <v>28</v>
      </c>
      <c r="F9" s="97"/>
      <c r="G9" s="97" t="s">
        <v>29</v>
      </c>
      <c r="H9" s="97"/>
      <c r="I9" s="97" t="s">
        <v>76</v>
      </c>
      <c r="J9" s="97"/>
      <c r="K9" s="96"/>
      <c r="L9" s="96"/>
    </row>
    <row r="10" spans="1:12" x14ac:dyDescent="0.25">
      <c r="A10" s="97"/>
      <c r="B10" s="97"/>
      <c r="C10" s="63" t="s">
        <v>25</v>
      </c>
      <c r="D10" s="63" t="s">
        <v>26</v>
      </c>
      <c r="E10" s="63" t="s">
        <v>25</v>
      </c>
      <c r="F10" s="63" t="s">
        <v>26</v>
      </c>
      <c r="G10" s="63" t="s">
        <v>25</v>
      </c>
      <c r="H10" s="63" t="s">
        <v>26</v>
      </c>
      <c r="I10" s="63" t="s">
        <v>25</v>
      </c>
      <c r="J10" s="63" t="s">
        <v>26</v>
      </c>
      <c r="K10" s="96"/>
      <c r="L10" s="96"/>
    </row>
    <row r="11" spans="1:12" ht="21.75" customHeight="1" x14ac:dyDescent="0.25">
      <c r="A11" s="18">
        <v>1</v>
      </c>
      <c r="B11" s="13" t="str">
        <f>'CONCENTRADO DE DESEMPEÑO'!B11</f>
        <v>NOMBRE DEL FUNCIONARIO</v>
      </c>
      <c r="C11" s="45"/>
      <c r="D11" s="46"/>
      <c r="E11" s="45"/>
      <c r="F11" s="46"/>
      <c r="G11" s="45"/>
      <c r="H11" s="46"/>
      <c r="I11" s="45"/>
      <c r="J11" s="46"/>
      <c r="K11" s="22">
        <f>10-((C11+E11+I11+G11)*0.5)-((D11+F11+H11+J11)*1)</f>
        <v>10</v>
      </c>
      <c r="L11" s="2"/>
    </row>
    <row r="12" spans="1:12" ht="21.75" customHeight="1" x14ac:dyDescent="0.25">
      <c r="A12" s="18">
        <v>2</v>
      </c>
      <c r="B12" s="13" t="str">
        <f>'CONCENTRADO DE DESEMPEÑO'!B12</f>
        <v>NOMBRE DEL FUNCIONARIO</v>
      </c>
      <c r="C12" s="45"/>
      <c r="D12" s="46"/>
      <c r="E12" s="45"/>
      <c r="F12" s="46"/>
      <c r="G12" s="45"/>
      <c r="H12" s="46"/>
      <c r="I12" s="45"/>
      <c r="J12" s="46"/>
      <c r="K12" s="22">
        <f t="shared" ref="K12:K25" si="0">10-((C12+E12+I12+G12)*0.5)-((D12+F12+H12+J12)*1)</f>
        <v>10</v>
      </c>
      <c r="L12" s="2"/>
    </row>
    <row r="13" spans="1:12" ht="21.75" customHeight="1" x14ac:dyDescent="0.25">
      <c r="A13" s="18">
        <v>3</v>
      </c>
      <c r="B13" s="13" t="str">
        <f>'CONCENTRADO DE DESEMPEÑO'!B13</f>
        <v>NOMBRE DEL FUNCIONARIO</v>
      </c>
      <c r="C13" s="45"/>
      <c r="D13" s="46"/>
      <c r="E13" s="45"/>
      <c r="F13" s="46"/>
      <c r="G13" s="45"/>
      <c r="H13" s="46"/>
      <c r="I13" s="45"/>
      <c r="J13" s="46"/>
      <c r="K13" s="22">
        <f t="shared" si="0"/>
        <v>10</v>
      </c>
      <c r="L13" s="2"/>
    </row>
    <row r="14" spans="1:12" ht="21.75" customHeight="1" x14ac:dyDescent="0.25">
      <c r="A14" s="18">
        <v>4</v>
      </c>
      <c r="B14" s="13" t="str">
        <f>'CONCENTRADO DE DESEMPEÑO'!B14</f>
        <v>NOMBRE DEL FUNCIONARIO</v>
      </c>
      <c r="C14" s="45"/>
      <c r="D14" s="46"/>
      <c r="E14" s="45"/>
      <c r="F14" s="46"/>
      <c r="G14" s="45"/>
      <c r="H14" s="46"/>
      <c r="I14" s="45"/>
      <c r="J14" s="46"/>
      <c r="K14" s="22">
        <f t="shared" si="0"/>
        <v>10</v>
      </c>
      <c r="L14" s="2"/>
    </row>
    <row r="15" spans="1:12" ht="21.75" customHeight="1" x14ac:dyDescent="0.25">
      <c r="A15" s="18">
        <v>5</v>
      </c>
      <c r="B15" s="13" t="str">
        <f>'CONCENTRADO DE DESEMPEÑO'!B15</f>
        <v>NOMBRE DEL FUNCIONARIO</v>
      </c>
      <c r="C15" s="45"/>
      <c r="D15" s="46"/>
      <c r="E15" s="45"/>
      <c r="F15" s="46"/>
      <c r="G15" s="45"/>
      <c r="H15" s="46"/>
      <c r="I15" s="45"/>
      <c r="J15" s="46"/>
      <c r="K15" s="22">
        <f t="shared" si="0"/>
        <v>10</v>
      </c>
      <c r="L15" s="2"/>
    </row>
    <row r="16" spans="1:12" ht="21.75" customHeight="1" x14ac:dyDescent="0.25">
      <c r="A16" s="18">
        <v>6</v>
      </c>
      <c r="B16" s="13" t="str">
        <f>'CONCENTRADO DE DESEMPEÑO'!B16</f>
        <v>NOMBRE DEL FUNCIONARIO</v>
      </c>
      <c r="C16" s="45"/>
      <c r="D16" s="46"/>
      <c r="E16" s="45"/>
      <c r="F16" s="46"/>
      <c r="G16" s="45"/>
      <c r="H16" s="46"/>
      <c r="I16" s="45"/>
      <c r="J16" s="46"/>
      <c r="K16" s="22">
        <f t="shared" si="0"/>
        <v>10</v>
      </c>
      <c r="L16" s="2"/>
    </row>
    <row r="17" spans="1:12" ht="21.75" customHeight="1" x14ac:dyDescent="0.25">
      <c r="A17" s="18">
        <v>7</v>
      </c>
      <c r="B17" s="13" t="str">
        <f>'CONCENTRADO DE DESEMPEÑO'!B17</f>
        <v>NOMBRE DEL FUNCIONARIO</v>
      </c>
      <c r="C17" s="45"/>
      <c r="D17" s="46"/>
      <c r="E17" s="45"/>
      <c r="F17" s="46"/>
      <c r="G17" s="45"/>
      <c r="H17" s="46"/>
      <c r="I17" s="45"/>
      <c r="J17" s="46"/>
      <c r="K17" s="22">
        <f t="shared" si="0"/>
        <v>10</v>
      </c>
      <c r="L17" s="2"/>
    </row>
    <row r="18" spans="1:12" ht="21.75" customHeight="1" x14ac:dyDescent="0.25">
      <c r="A18" s="18">
        <v>8</v>
      </c>
      <c r="B18" s="13" t="str">
        <f>'CONCENTRADO DE DESEMPEÑO'!B18</f>
        <v>NOMBRE DEL FUNCIONARIO</v>
      </c>
      <c r="C18" s="45"/>
      <c r="D18" s="46"/>
      <c r="E18" s="45"/>
      <c r="F18" s="46"/>
      <c r="G18" s="45"/>
      <c r="H18" s="46"/>
      <c r="I18" s="45"/>
      <c r="J18" s="46"/>
      <c r="K18" s="22">
        <f t="shared" si="0"/>
        <v>10</v>
      </c>
      <c r="L18" s="2"/>
    </row>
    <row r="19" spans="1:12" ht="21.75" customHeight="1" x14ac:dyDescent="0.25">
      <c r="A19" s="18">
        <v>9</v>
      </c>
      <c r="B19" s="13" t="str">
        <f>'CONCENTRADO DE DESEMPEÑO'!B19</f>
        <v>NOMBRE DEL FUNCIONARIO</v>
      </c>
      <c r="C19" s="45"/>
      <c r="D19" s="46"/>
      <c r="E19" s="45"/>
      <c r="F19" s="46"/>
      <c r="G19" s="45"/>
      <c r="H19" s="46"/>
      <c r="I19" s="45"/>
      <c r="J19" s="46"/>
      <c r="K19" s="22">
        <f t="shared" si="0"/>
        <v>10</v>
      </c>
      <c r="L19" s="2"/>
    </row>
    <row r="20" spans="1:12" ht="21.75" customHeight="1" x14ac:dyDescent="0.25">
      <c r="A20" s="18">
        <v>10</v>
      </c>
      <c r="B20" s="13" t="str">
        <f>'CONCENTRADO DE DESEMPEÑO'!B20</f>
        <v>NOMBRE DEL FUNCIONARIO</v>
      </c>
      <c r="C20" s="45"/>
      <c r="D20" s="46"/>
      <c r="E20" s="45"/>
      <c r="F20" s="46"/>
      <c r="G20" s="45"/>
      <c r="H20" s="46"/>
      <c r="I20" s="45"/>
      <c r="J20" s="46"/>
      <c r="K20" s="22">
        <f t="shared" si="0"/>
        <v>10</v>
      </c>
      <c r="L20" s="2"/>
    </row>
    <row r="21" spans="1:12" ht="21.75" customHeight="1" x14ac:dyDescent="0.25">
      <c r="A21" s="18">
        <v>11</v>
      </c>
      <c r="B21" s="13" t="str">
        <f>'CONCENTRADO DE DESEMPEÑO'!B21</f>
        <v>NOMBRE DEL FUNCIONARIO</v>
      </c>
      <c r="C21" s="45"/>
      <c r="D21" s="46"/>
      <c r="E21" s="45"/>
      <c r="F21" s="46"/>
      <c r="G21" s="45"/>
      <c r="H21" s="46"/>
      <c r="I21" s="45"/>
      <c r="J21" s="46"/>
      <c r="K21" s="22">
        <f t="shared" si="0"/>
        <v>10</v>
      </c>
      <c r="L21" s="2"/>
    </row>
    <row r="22" spans="1:12" ht="21.75" customHeight="1" x14ac:dyDescent="0.25">
      <c r="A22" s="18">
        <v>12</v>
      </c>
      <c r="B22" s="13" t="str">
        <f>'CONCENTRADO DE DESEMPEÑO'!B22</f>
        <v>NOMBRE DEL FUNCIONARIO</v>
      </c>
      <c r="C22" s="45"/>
      <c r="D22" s="46"/>
      <c r="E22" s="45"/>
      <c r="F22" s="46"/>
      <c r="G22" s="45"/>
      <c r="H22" s="46"/>
      <c r="I22" s="45"/>
      <c r="J22" s="46"/>
      <c r="K22" s="22">
        <f t="shared" si="0"/>
        <v>10</v>
      </c>
      <c r="L22" s="2"/>
    </row>
    <row r="23" spans="1:12" ht="21.75" customHeight="1" x14ac:dyDescent="0.25">
      <c r="A23" s="18">
        <v>13</v>
      </c>
      <c r="B23" s="13" t="str">
        <f>'CONCENTRADO DE DESEMPEÑO'!B23</f>
        <v>NOMBRE DEL FUNCIONARIO</v>
      </c>
      <c r="C23" s="45"/>
      <c r="D23" s="46"/>
      <c r="E23" s="45"/>
      <c r="F23" s="46"/>
      <c r="G23" s="45"/>
      <c r="H23" s="46"/>
      <c r="I23" s="45"/>
      <c r="J23" s="46"/>
      <c r="K23" s="22">
        <f t="shared" si="0"/>
        <v>10</v>
      </c>
      <c r="L23" s="2"/>
    </row>
    <row r="24" spans="1:12" ht="21.75" customHeight="1" x14ac:dyDescent="0.25">
      <c r="A24" s="18">
        <v>14</v>
      </c>
      <c r="B24" s="13" t="str">
        <f>'CONCENTRADO DE DESEMPEÑO'!B24</f>
        <v>NOMBRE DEL FUNCIONARIO</v>
      </c>
      <c r="C24" s="45"/>
      <c r="D24" s="46"/>
      <c r="E24" s="45"/>
      <c r="F24" s="46"/>
      <c r="G24" s="45"/>
      <c r="H24" s="46"/>
      <c r="I24" s="45"/>
      <c r="J24" s="46"/>
      <c r="K24" s="22">
        <f t="shared" si="0"/>
        <v>10</v>
      </c>
      <c r="L24" s="2"/>
    </row>
    <row r="25" spans="1:12" ht="21.75" customHeight="1" x14ac:dyDescent="0.25">
      <c r="A25" s="18">
        <v>15</v>
      </c>
      <c r="B25" s="13" t="str">
        <f>'CONCENTRADO DE DESEMPEÑO'!B25</f>
        <v>NOMBRE DEL FUNCIONARIO</v>
      </c>
      <c r="C25" s="45"/>
      <c r="D25" s="46"/>
      <c r="E25" s="45"/>
      <c r="F25" s="46"/>
      <c r="G25" s="45"/>
      <c r="H25" s="46"/>
      <c r="I25" s="45"/>
      <c r="J25" s="46"/>
      <c r="K25" s="22">
        <f t="shared" si="0"/>
        <v>10</v>
      </c>
      <c r="L25" s="2"/>
    </row>
    <row r="26" spans="1:12" x14ac:dyDescent="0.25">
      <c r="A26" s="4" t="s">
        <v>67</v>
      </c>
    </row>
    <row r="27" spans="1:12" x14ac:dyDescent="0.25">
      <c r="A27" s="4" t="s">
        <v>66</v>
      </c>
    </row>
    <row r="28" spans="1:12" x14ac:dyDescent="0.25">
      <c r="A28" s="4" t="s">
        <v>47</v>
      </c>
    </row>
    <row r="29" spans="1:12" ht="28.5" customHeight="1" x14ac:dyDescent="0.25">
      <c r="A29" s="90" t="s">
        <v>21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</row>
    <row r="33" spans="3:10" x14ac:dyDescent="0.25">
      <c r="C33" s="86"/>
      <c r="D33" s="86"/>
      <c r="E33" s="86"/>
      <c r="F33" s="86"/>
      <c r="G33" s="86"/>
      <c r="H33" s="86"/>
      <c r="I33" s="86"/>
      <c r="J33" s="86"/>
    </row>
    <row r="34" spans="3:10" x14ac:dyDescent="0.25">
      <c r="C34" s="100" t="s">
        <v>23</v>
      </c>
      <c r="D34" s="100"/>
      <c r="E34" s="100"/>
      <c r="F34" s="100"/>
      <c r="G34" s="100"/>
      <c r="H34" s="100"/>
      <c r="I34" s="100"/>
      <c r="J34" s="100"/>
    </row>
  </sheetData>
  <mergeCells count="14">
    <mergeCell ref="C34:J34"/>
    <mergeCell ref="C8:J8"/>
    <mergeCell ref="K8:K10"/>
    <mergeCell ref="C9:D9"/>
    <mergeCell ref="E9:F9"/>
    <mergeCell ref="G9:H9"/>
    <mergeCell ref="A29:L29"/>
    <mergeCell ref="C33:J33"/>
    <mergeCell ref="A8:A10"/>
    <mergeCell ref="L8:L10"/>
    <mergeCell ref="B8:B10"/>
    <mergeCell ref="C7:D7"/>
    <mergeCell ref="I4:J4"/>
    <mergeCell ref="I9:J9"/>
  </mergeCells>
  <printOptions horizontalCentered="1"/>
  <pageMargins left="0.23622047244094491" right="0.23622047244094491" top="0.74803149606299213" bottom="0.74803149606299213" header="0.31496062992125984" footer="0.31496062992125984"/>
  <pageSetup scale="7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25"/>
  <sheetViews>
    <sheetView showGridLines="0" tabSelected="1" zoomScale="73" zoomScaleNormal="73" workbookViewId="0">
      <selection activeCell="R6" sqref="R6:R7"/>
    </sheetView>
  </sheetViews>
  <sheetFormatPr baseColWidth="10" defaultRowHeight="15" x14ac:dyDescent="0.25"/>
  <cols>
    <col min="1" max="1" width="18.140625" customWidth="1"/>
    <col min="3" max="3" width="12.7109375" customWidth="1"/>
    <col min="4" max="4" width="15.7109375" customWidth="1"/>
    <col min="6" max="6" width="13.7109375" customWidth="1"/>
    <col min="7" max="8" width="13.42578125" customWidth="1"/>
    <col min="9" max="9" width="52.28515625" customWidth="1"/>
  </cols>
  <sheetData>
    <row r="4" spans="1:9" x14ac:dyDescent="0.25">
      <c r="I4" s="3" t="s">
        <v>30</v>
      </c>
    </row>
    <row r="5" spans="1:9" x14ac:dyDescent="0.25">
      <c r="A5" s="30"/>
      <c r="B5" s="30"/>
      <c r="C5" s="30"/>
      <c r="D5" s="30"/>
      <c r="E5" s="30"/>
      <c r="F5" s="30"/>
      <c r="G5" s="30"/>
      <c r="H5" s="30"/>
      <c r="I5" s="10" t="str">
        <f>'CONCENTRADO DE DESEMPEÑO'!R2</f>
        <v>NAYARIT</v>
      </c>
    </row>
    <row r="6" spans="1:9" x14ac:dyDescent="0.25">
      <c r="A6" s="25"/>
      <c r="B6" s="25"/>
      <c r="C6" s="25"/>
      <c r="D6" s="25"/>
      <c r="E6" s="25"/>
      <c r="F6" s="25"/>
      <c r="G6" s="25"/>
      <c r="H6" s="25"/>
      <c r="I6" s="5" t="s">
        <v>48</v>
      </c>
    </row>
    <row r="7" spans="1:9" ht="45" x14ac:dyDescent="0.3">
      <c r="A7" s="34" t="str">
        <f>'CONCENTRADO DE DESEMPEÑO'!B4</f>
        <v xml:space="preserve">Distrito </v>
      </c>
      <c r="B7" s="27">
        <f>'CONCENTRADO DE DESEMPEÑO'!C4</f>
        <v>1</v>
      </c>
      <c r="I7" s="70" t="str">
        <f>'CONCENTRADO DE DESEMPEÑO'!M4</f>
        <v>Bitácora de desempeño del personal de Módulos de Atención Ciudadana de la Campaña de Actualización Intensa</v>
      </c>
    </row>
    <row r="8" spans="1:9" ht="18.75" x14ac:dyDescent="0.3">
      <c r="A8" s="34" t="s">
        <v>46</v>
      </c>
      <c r="B8" s="27">
        <f>'CONCENTRADO DE DESEMPEÑO'!H4</f>
        <v>0</v>
      </c>
      <c r="I8" s="3" t="s">
        <v>41</v>
      </c>
    </row>
    <row r="9" spans="1:9" ht="18.75" x14ac:dyDescent="0.3">
      <c r="A9" s="34"/>
      <c r="B9" s="27"/>
      <c r="C9" s="4"/>
      <c r="D9" s="69" t="str">
        <f>'CONCENTRADO DE DESEMPEÑO'!G5</f>
        <v>Ago-Dic</v>
      </c>
      <c r="E9" s="69"/>
      <c r="F9" s="7"/>
      <c r="G9" s="69" t="str">
        <f>'CONCENTRADO DE DESEMPEÑO'!J5</f>
        <v>CAP</v>
      </c>
      <c r="H9" s="69" t="str">
        <f>'CONCENTRADO DE DESEMPEÑO'!L5</f>
        <v>CAI</v>
      </c>
      <c r="I9" s="81" t="s">
        <v>94</v>
      </c>
    </row>
    <row r="10" spans="1:9" x14ac:dyDescent="0.25">
      <c r="A10" s="104" t="s">
        <v>22</v>
      </c>
      <c r="B10" s="104"/>
      <c r="C10" s="10" t="str">
        <f>'CONCENTRADO DE DESEMPEÑO'!C6:F6</f>
        <v xml:space="preserve">Cuatrimestre: </v>
      </c>
      <c r="D10" s="58" t="str">
        <f>IF('CONCENTRADO DE DESEMPEÑO'!G6 = 0,"",'CONCENTRADO DE DESEMPEÑO'!G6)</f>
        <v>X</v>
      </c>
      <c r="E10" s="58"/>
      <c r="F10" s="58" t="str">
        <f>'CONCENTRADO DE DESEMPEÑO'!I6</f>
        <v>Campaña</v>
      </c>
      <c r="G10" s="58" t="str">
        <f>IF('CONCENTRADO DE DESEMPEÑO'!I6 = 0,"",'CONCENTRADO DE DESEMPEÑO'!I6)</f>
        <v>Campaña</v>
      </c>
      <c r="H10" s="58"/>
      <c r="I10" s="81" t="s">
        <v>95</v>
      </c>
    </row>
    <row r="11" spans="1:9" ht="15.6" customHeight="1" x14ac:dyDescent="0.25">
      <c r="A11" s="97" t="s">
        <v>38</v>
      </c>
      <c r="B11" s="97" t="s">
        <v>63</v>
      </c>
      <c r="C11" s="106" t="s">
        <v>35</v>
      </c>
      <c r="D11" s="106"/>
      <c r="E11" s="106"/>
      <c r="F11" s="106"/>
      <c r="G11" s="96" t="s">
        <v>39</v>
      </c>
      <c r="H11" s="109" t="s">
        <v>64</v>
      </c>
      <c r="I11" s="110"/>
    </row>
    <row r="12" spans="1:9" ht="40.5" customHeight="1" x14ac:dyDescent="0.25">
      <c r="A12" s="97"/>
      <c r="B12" s="97"/>
      <c r="C12" s="64" t="s">
        <v>34</v>
      </c>
      <c r="D12" s="65" t="s">
        <v>62</v>
      </c>
      <c r="E12" s="64" t="s">
        <v>36</v>
      </c>
      <c r="F12" s="64" t="s">
        <v>37</v>
      </c>
      <c r="G12" s="96"/>
      <c r="H12" s="111"/>
      <c r="I12" s="112"/>
    </row>
    <row r="13" spans="1:9" ht="27" customHeight="1" x14ac:dyDescent="0.25">
      <c r="A13" s="107" t="s">
        <v>78</v>
      </c>
      <c r="B13" s="18" t="s">
        <v>32</v>
      </c>
      <c r="C13" s="47"/>
      <c r="D13" s="47"/>
      <c r="E13" s="47"/>
      <c r="F13" s="47"/>
      <c r="G13" s="21">
        <f>10-((C13+D13+E13+F13)*1)</f>
        <v>10</v>
      </c>
      <c r="H13" s="102"/>
      <c r="I13" s="103"/>
    </row>
    <row r="14" spans="1:9" ht="27" customHeight="1" x14ac:dyDescent="0.25">
      <c r="A14" s="107"/>
      <c r="B14" s="60" t="s">
        <v>33</v>
      </c>
      <c r="C14" s="47"/>
      <c r="D14" s="47"/>
      <c r="E14" s="47"/>
      <c r="F14" s="47"/>
      <c r="G14" s="32">
        <f t="shared" ref="G14:G16" si="0">10-((C14+D14+E14+F14)*1)</f>
        <v>10</v>
      </c>
      <c r="H14" s="102"/>
      <c r="I14" s="103"/>
    </row>
    <row r="15" spans="1:9" ht="27" customHeight="1" x14ac:dyDescent="0.25">
      <c r="A15" s="107"/>
      <c r="B15" s="60" t="s">
        <v>83</v>
      </c>
      <c r="C15" s="47"/>
      <c r="D15" s="47"/>
      <c r="E15" s="47"/>
      <c r="F15" s="47"/>
      <c r="G15" s="32">
        <f t="shared" si="0"/>
        <v>10</v>
      </c>
      <c r="H15" s="102"/>
      <c r="I15" s="103"/>
    </row>
    <row r="16" spans="1:9" ht="27" customHeight="1" x14ac:dyDescent="0.25">
      <c r="A16" s="107"/>
      <c r="B16" s="60" t="s">
        <v>84</v>
      </c>
      <c r="C16" s="47"/>
      <c r="D16" s="47"/>
      <c r="E16" s="47"/>
      <c r="F16" s="47"/>
      <c r="G16" s="32">
        <f t="shared" si="0"/>
        <v>10</v>
      </c>
      <c r="H16" s="102"/>
      <c r="I16" s="103"/>
    </row>
    <row r="17" spans="1:11" ht="27" customHeight="1" x14ac:dyDescent="0.25">
      <c r="A17" s="108" t="s">
        <v>77</v>
      </c>
      <c r="B17" s="108"/>
      <c r="C17" s="108"/>
      <c r="D17" s="108"/>
      <c r="E17" s="108"/>
      <c r="F17" s="108"/>
      <c r="G17" s="28">
        <f>SUM(G13:G16)/4</f>
        <v>10</v>
      </c>
      <c r="H17" s="102"/>
      <c r="I17" s="103"/>
    </row>
    <row r="18" spans="1:11" x14ac:dyDescent="0.25">
      <c r="A18" s="4" t="s">
        <v>40</v>
      </c>
    </row>
    <row r="19" spans="1:11" x14ac:dyDescent="0.25">
      <c r="A19" s="4" t="s">
        <v>65</v>
      </c>
    </row>
    <row r="22" spans="1:11" x14ac:dyDescent="0.25">
      <c r="A22" s="105" t="s">
        <v>21</v>
      </c>
      <c r="B22" s="105"/>
      <c r="C22" s="105"/>
      <c r="D22" s="105"/>
      <c r="E22" s="105"/>
      <c r="F22" s="105"/>
      <c r="G22" s="105"/>
      <c r="H22" s="105"/>
      <c r="I22" s="105"/>
    </row>
    <row r="24" spans="1:11" x14ac:dyDescent="0.25">
      <c r="A24" s="86"/>
      <c r="B24" s="86"/>
      <c r="C24" s="86"/>
      <c r="I24" s="16"/>
      <c r="J24" s="39"/>
      <c r="K24" s="39"/>
    </row>
    <row r="25" spans="1:11" x14ac:dyDescent="0.25">
      <c r="A25" s="100" t="s">
        <v>23</v>
      </c>
      <c r="B25" s="100"/>
      <c r="C25" s="100"/>
      <c r="I25" s="15" t="s">
        <v>24</v>
      </c>
      <c r="J25" s="39"/>
      <c r="K25" s="39"/>
    </row>
  </sheetData>
  <mergeCells count="16">
    <mergeCell ref="A24:C24"/>
    <mergeCell ref="A25:C25"/>
    <mergeCell ref="H17:I17"/>
    <mergeCell ref="A10:B10"/>
    <mergeCell ref="A22:I22"/>
    <mergeCell ref="C11:F11"/>
    <mergeCell ref="A11:A12"/>
    <mergeCell ref="B11:B12"/>
    <mergeCell ref="A13:A16"/>
    <mergeCell ref="G11:G12"/>
    <mergeCell ref="A17:F17"/>
    <mergeCell ref="H15:I15"/>
    <mergeCell ref="H16:I16"/>
    <mergeCell ref="H11:I12"/>
    <mergeCell ref="H13:I13"/>
    <mergeCell ref="H14:I14"/>
  </mergeCells>
  <printOptions horizontalCentered="1"/>
  <pageMargins left="0.23622047244094491" right="0.23622047244094491" top="0.74803149606299213" bottom="0.74803149606299213" header="0.31496062992125984" footer="0.31496062992125984"/>
  <pageSetup scale="8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4"/>
  <sheetViews>
    <sheetView showGridLines="0" tabSelected="1" topLeftCell="A3" zoomScale="87" zoomScaleNormal="87" workbookViewId="0">
      <selection activeCell="R6" sqref="R6:R7"/>
    </sheetView>
  </sheetViews>
  <sheetFormatPr baseColWidth="10" defaultRowHeight="15" x14ac:dyDescent="0.25"/>
  <cols>
    <col min="2" max="2" width="42.42578125" customWidth="1"/>
    <col min="3" max="3" width="12.42578125" customWidth="1"/>
    <col min="4" max="6" width="10.85546875" customWidth="1"/>
    <col min="7" max="7" width="12.140625" customWidth="1"/>
    <col min="8" max="8" width="10.85546875" customWidth="1"/>
    <col min="9" max="9" width="41.85546875" customWidth="1"/>
  </cols>
  <sheetData>
    <row r="1" spans="1:9" x14ac:dyDescent="0.25">
      <c r="I1" s="3" t="s">
        <v>30</v>
      </c>
    </row>
    <row r="2" spans="1:9" x14ac:dyDescent="0.25">
      <c r="I2" s="3" t="str">
        <f>'CONCENTRADO DE DESEMPEÑO'!R2</f>
        <v>NAYARIT</v>
      </c>
    </row>
    <row r="3" spans="1:9" x14ac:dyDescent="0.25">
      <c r="A3" s="25"/>
      <c r="B3" s="25"/>
      <c r="C3" s="25"/>
      <c r="D3" s="25"/>
      <c r="E3" s="25"/>
      <c r="F3" s="25"/>
      <c r="G3" s="25"/>
      <c r="H3" s="25"/>
      <c r="I3" s="5" t="s">
        <v>48</v>
      </c>
    </row>
    <row r="4" spans="1:9" ht="43.15" customHeight="1" x14ac:dyDescent="0.25">
      <c r="A4" s="35" t="str">
        <f>'CONCENTRADO DE DESEMPEÑO'!B4</f>
        <v xml:space="preserve">Distrito </v>
      </c>
      <c r="B4" s="31">
        <f>'CONCENTRADO DE DESEMPEÑO'!C4</f>
        <v>1</v>
      </c>
      <c r="C4" s="114"/>
      <c r="D4" s="114"/>
      <c r="E4" s="114"/>
      <c r="F4" s="24"/>
      <c r="G4" s="78"/>
      <c r="H4" s="113" t="str">
        <f>'CONCENTRADO DE DESEMPEÑO'!M4</f>
        <v>Bitácora de desempeño del personal de Módulos de Atención Ciudadana de la Campaña de Actualización Intensa</v>
      </c>
      <c r="I4" s="113"/>
    </row>
    <row r="5" spans="1:9" ht="15.75" x14ac:dyDescent="0.25">
      <c r="A5" s="35" t="str">
        <f>SERVICIO!A8</f>
        <v>Módulo</v>
      </c>
      <c r="B5" s="49">
        <f>'CONCENTRADO DE DESEMPEÑO'!H4</f>
        <v>0</v>
      </c>
      <c r="C5" s="9"/>
      <c r="D5" s="9"/>
      <c r="E5" s="7"/>
      <c r="F5" s="7"/>
      <c r="G5" s="7"/>
      <c r="I5" s="3" t="s">
        <v>42</v>
      </c>
    </row>
    <row r="6" spans="1:9" ht="15.75" x14ac:dyDescent="0.25">
      <c r="A6" s="35"/>
      <c r="B6" s="49"/>
      <c r="C6" s="9"/>
      <c r="D6" s="9"/>
      <c r="E6" s="69" t="s">
        <v>20</v>
      </c>
      <c r="F6" s="69"/>
      <c r="G6" s="69" t="str">
        <f>'CONCENTRADO DE DESEMPEÑO'!L5</f>
        <v>CAI</v>
      </c>
      <c r="I6" s="81" t="s">
        <v>94</v>
      </c>
    </row>
    <row r="7" spans="1:9" x14ac:dyDescent="0.25">
      <c r="B7" s="3" t="str">
        <f>SERVICIO!A10</f>
        <v>Periodo de verificación</v>
      </c>
      <c r="C7" s="10" t="s">
        <v>89</v>
      </c>
      <c r="D7" s="59"/>
      <c r="E7" s="57" t="str">
        <f>IF('CONCENTRADO DE DESEMPEÑO'!G6 = 0,"",'CONCENTRADO DE DESEMPEÑO'!G6)</f>
        <v>X</v>
      </c>
      <c r="F7" s="57" t="str">
        <f>'CONCENTRADO DE DESEMPEÑO'!I6</f>
        <v>Campaña</v>
      </c>
      <c r="G7" s="58" t="str">
        <f>'CONCENTRADO DE DESEMPEÑO'!L6</f>
        <v>x</v>
      </c>
      <c r="I7" s="81" t="s">
        <v>95</v>
      </c>
    </row>
    <row r="8" spans="1:9" ht="14.45" customHeight="1" x14ac:dyDescent="0.25">
      <c r="A8" s="97" t="s">
        <v>0</v>
      </c>
      <c r="B8" s="97" t="s">
        <v>1</v>
      </c>
      <c r="C8" s="101" t="str">
        <f>PUNTUALIDAD!C8</f>
        <v>Primer Cuatrimestre</v>
      </c>
      <c r="D8" s="101"/>
      <c r="E8" s="101"/>
      <c r="F8" s="101"/>
      <c r="G8" s="96" t="s">
        <v>77</v>
      </c>
      <c r="H8" s="89" t="s">
        <v>87</v>
      </c>
      <c r="I8" s="96" t="s">
        <v>43</v>
      </c>
    </row>
    <row r="9" spans="1:9" x14ac:dyDescent="0.25">
      <c r="A9" s="97"/>
      <c r="B9" s="97"/>
      <c r="C9" s="115" t="s">
        <v>27</v>
      </c>
      <c r="D9" s="115" t="s">
        <v>85</v>
      </c>
      <c r="E9" s="115" t="s">
        <v>29</v>
      </c>
      <c r="F9" s="115" t="s">
        <v>86</v>
      </c>
      <c r="G9" s="96"/>
      <c r="H9" s="89"/>
      <c r="I9" s="96"/>
    </row>
    <row r="10" spans="1:9" x14ac:dyDescent="0.25">
      <c r="A10" s="97"/>
      <c r="B10" s="97"/>
      <c r="C10" s="116"/>
      <c r="D10" s="116"/>
      <c r="E10" s="116"/>
      <c r="F10" s="116"/>
      <c r="G10" s="96"/>
      <c r="H10" s="89"/>
      <c r="I10" s="96"/>
    </row>
    <row r="11" spans="1:9" ht="21.75" customHeight="1" x14ac:dyDescent="0.25">
      <c r="A11" s="18">
        <v>1</v>
      </c>
      <c r="B11" s="13" t="str">
        <f>'CONCENTRADO DE DESEMPEÑO'!B11</f>
        <v>NOMBRE DEL FUNCIONARIO</v>
      </c>
      <c r="C11" s="48"/>
      <c r="D11" s="48"/>
      <c r="E11" s="48"/>
      <c r="F11" s="48"/>
      <c r="G11" s="33">
        <f>10-((C11+D11+E11+F11)*0.5)</f>
        <v>10</v>
      </c>
      <c r="H11" s="22">
        <f>G11</f>
        <v>10</v>
      </c>
      <c r="I11" s="44"/>
    </row>
    <row r="12" spans="1:9" ht="21.75" customHeight="1" x14ac:dyDescent="0.25">
      <c r="A12" s="18">
        <v>2</v>
      </c>
      <c r="B12" s="13" t="str">
        <f>'CONCENTRADO DE DESEMPEÑO'!B12</f>
        <v>NOMBRE DEL FUNCIONARIO</v>
      </c>
      <c r="C12" s="48"/>
      <c r="D12" s="48"/>
      <c r="E12" s="48"/>
      <c r="F12" s="48"/>
      <c r="G12" s="33">
        <f t="shared" ref="G12:G25" si="0">10-((C12+D12+E12+F12)*0.5)</f>
        <v>10</v>
      </c>
      <c r="H12" s="22">
        <f t="shared" ref="H12:H25" si="1">G12</f>
        <v>10</v>
      </c>
      <c r="I12" s="44"/>
    </row>
    <row r="13" spans="1:9" ht="21.75" customHeight="1" x14ac:dyDescent="0.25">
      <c r="A13" s="18">
        <v>3</v>
      </c>
      <c r="B13" s="13" t="str">
        <f>'CONCENTRADO DE DESEMPEÑO'!B13</f>
        <v>NOMBRE DEL FUNCIONARIO</v>
      </c>
      <c r="C13" s="48"/>
      <c r="D13" s="48"/>
      <c r="E13" s="48"/>
      <c r="F13" s="48"/>
      <c r="G13" s="33">
        <f t="shared" si="0"/>
        <v>10</v>
      </c>
      <c r="H13" s="22">
        <f t="shared" si="1"/>
        <v>10</v>
      </c>
      <c r="I13" s="44"/>
    </row>
    <row r="14" spans="1:9" ht="21.75" customHeight="1" x14ac:dyDescent="0.25">
      <c r="A14" s="18">
        <v>4</v>
      </c>
      <c r="B14" s="13" t="str">
        <f>'CONCENTRADO DE DESEMPEÑO'!B14</f>
        <v>NOMBRE DEL FUNCIONARIO</v>
      </c>
      <c r="C14" s="48"/>
      <c r="D14" s="48"/>
      <c r="E14" s="48"/>
      <c r="F14" s="48"/>
      <c r="G14" s="33">
        <f t="shared" si="0"/>
        <v>10</v>
      </c>
      <c r="H14" s="22">
        <f t="shared" si="1"/>
        <v>10</v>
      </c>
      <c r="I14" s="44"/>
    </row>
    <row r="15" spans="1:9" ht="21.75" customHeight="1" x14ac:dyDescent="0.25">
      <c r="A15" s="18">
        <v>5</v>
      </c>
      <c r="B15" s="13" t="str">
        <f>'CONCENTRADO DE DESEMPEÑO'!B15</f>
        <v>NOMBRE DEL FUNCIONARIO</v>
      </c>
      <c r="C15" s="48"/>
      <c r="D15" s="48"/>
      <c r="E15" s="48"/>
      <c r="F15" s="48"/>
      <c r="G15" s="33">
        <f t="shared" si="0"/>
        <v>10</v>
      </c>
      <c r="H15" s="22">
        <f t="shared" si="1"/>
        <v>10</v>
      </c>
      <c r="I15" s="44"/>
    </row>
    <row r="16" spans="1:9" ht="21.75" customHeight="1" x14ac:dyDescent="0.25">
      <c r="A16" s="18">
        <v>6</v>
      </c>
      <c r="B16" s="13" t="str">
        <f>'CONCENTRADO DE DESEMPEÑO'!B16</f>
        <v>NOMBRE DEL FUNCIONARIO</v>
      </c>
      <c r="C16" s="48"/>
      <c r="D16" s="48"/>
      <c r="E16" s="48"/>
      <c r="F16" s="48"/>
      <c r="G16" s="33">
        <f t="shared" si="0"/>
        <v>10</v>
      </c>
      <c r="H16" s="22">
        <f t="shared" si="1"/>
        <v>10</v>
      </c>
      <c r="I16" s="44"/>
    </row>
    <row r="17" spans="1:9" ht="21.75" customHeight="1" x14ac:dyDescent="0.25">
      <c r="A17" s="18">
        <v>7</v>
      </c>
      <c r="B17" s="13" t="str">
        <f>'CONCENTRADO DE DESEMPEÑO'!B17</f>
        <v>NOMBRE DEL FUNCIONARIO</v>
      </c>
      <c r="C17" s="48"/>
      <c r="D17" s="48"/>
      <c r="E17" s="48"/>
      <c r="F17" s="48"/>
      <c r="G17" s="33">
        <f t="shared" si="0"/>
        <v>10</v>
      </c>
      <c r="H17" s="22">
        <f t="shared" si="1"/>
        <v>10</v>
      </c>
      <c r="I17" s="44"/>
    </row>
    <row r="18" spans="1:9" ht="21.75" customHeight="1" x14ac:dyDescent="0.25">
      <c r="A18" s="18">
        <v>8</v>
      </c>
      <c r="B18" s="13" t="str">
        <f>'CONCENTRADO DE DESEMPEÑO'!B18</f>
        <v>NOMBRE DEL FUNCIONARIO</v>
      </c>
      <c r="C18" s="48"/>
      <c r="D18" s="48"/>
      <c r="E18" s="48"/>
      <c r="F18" s="48"/>
      <c r="G18" s="33">
        <f t="shared" si="0"/>
        <v>10</v>
      </c>
      <c r="H18" s="22">
        <f t="shared" si="1"/>
        <v>10</v>
      </c>
      <c r="I18" s="44"/>
    </row>
    <row r="19" spans="1:9" ht="21.75" customHeight="1" x14ac:dyDescent="0.25">
      <c r="A19" s="18">
        <v>9</v>
      </c>
      <c r="B19" s="13" t="str">
        <f>'CONCENTRADO DE DESEMPEÑO'!B19</f>
        <v>NOMBRE DEL FUNCIONARIO</v>
      </c>
      <c r="C19" s="48"/>
      <c r="D19" s="48"/>
      <c r="E19" s="48"/>
      <c r="F19" s="48"/>
      <c r="G19" s="33">
        <f t="shared" si="0"/>
        <v>10</v>
      </c>
      <c r="H19" s="22">
        <f t="shared" si="1"/>
        <v>10</v>
      </c>
      <c r="I19" s="44"/>
    </row>
    <row r="20" spans="1:9" ht="21.75" customHeight="1" x14ac:dyDescent="0.25">
      <c r="A20" s="18">
        <v>10</v>
      </c>
      <c r="B20" s="13" t="str">
        <f>'CONCENTRADO DE DESEMPEÑO'!B20</f>
        <v>NOMBRE DEL FUNCIONARIO</v>
      </c>
      <c r="C20" s="48"/>
      <c r="D20" s="48"/>
      <c r="E20" s="48"/>
      <c r="F20" s="48"/>
      <c r="G20" s="33">
        <f t="shared" si="0"/>
        <v>10</v>
      </c>
      <c r="H20" s="22">
        <f t="shared" si="1"/>
        <v>10</v>
      </c>
      <c r="I20" s="44"/>
    </row>
    <row r="21" spans="1:9" ht="21.75" customHeight="1" x14ac:dyDescent="0.25">
      <c r="A21" s="18">
        <v>11</v>
      </c>
      <c r="B21" s="13" t="str">
        <f>'CONCENTRADO DE DESEMPEÑO'!B21</f>
        <v>NOMBRE DEL FUNCIONARIO</v>
      </c>
      <c r="C21" s="48"/>
      <c r="D21" s="48"/>
      <c r="E21" s="48"/>
      <c r="F21" s="48"/>
      <c r="G21" s="33">
        <f t="shared" si="0"/>
        <v>10</v>
      </c>
      <c r="H21" s="22">
        <f t="shared" si="1"/>
        <v>10</v>
      </c>
      <c r="I21" s="44"/>
    </row>
    <row r="22" spans="1:9" ht="21.75" customHeight="1" x14ac:dyDescent="0.25">
      <c r="A22" s="18">
        <v>12</v>
      </c>
      <c r="B22" s="13" t="str">
        <f>'CONCENTRADO DE DESEMPEÑO'!B22</f>
        <v>NOMBRE DEL FUNCIONARIO</v>
      </c>
      <c r="C22" s="48"/>
      <c r="D22" s="48"/>
      <c r="E22" s="48"/>
      <c r="F22" s="48"/>
      <c r="G22" s="33">
        <f t="shared" si="0"/>
        <v>10</v>
      </c>
      <c r="H22" s="22">
        <f t="shared" si="1"/>
        <v>10</v>
      </c>
      <c r="I22" s="44"/>
    </row>
    <row r="23" spans="1:9" ht="21.75" customHeight="1" x14ac:dyDescent="0.25">
      <c r="A23" s="18">
        <v>13</v>
      </c>
      <c r="B23" s="13" t="str">
        <f>'CONCENTRADO DE DESEMPEÑO'!B23</f>
        <v>NOMBRE DEL FUNCIONARIO</v>
      </c>
      <c r="C23" s="48"/>
      <c r="D23" s="48"/>
      <c r="E23" s="48"/>
      <c r="F23" s="48"/>
      <c r="G23" s="33">
        <f t="shared" si="0"/>
        <v>10</v>
      </c>
      <c r="H23" s="22">
        <f t="shared" si="1"/>
        <v>10</v>
      </c>
      <c r="I23" s="44"/>
    </row>
    <row r="24" spans="1:9" ht="21.75" customHeight="1" x14ac:dyDescent="0.25">
      <c r="A24" s="18">
        <v>14</v>
      </c>
      <c r="B24" s="13" t="str">
        <f>'CONCENTRADO DE DESEMPEÑO'!B24</f>
        <v>NOMBRE DEL FUNCIONARIO</v>
      </c>
      <c r="C24" s="48"/>
      <c r="D24" s="48"/>
      <c r="E24" s="48"/>
      <c r="F24" s="48"/>
      <c r="G24" s="33">
        <f t="shared" si="0"/>
        <v>10</v>
      </c>
      <c r="H24" s="22">
        <f t="shared" si="1"/>
        <v>10</v>
      </c>
      <c r="I24" s="44"/>
    </row>
    <row r="25" spans="1:9" ht="21.75" customHeight="1" x14ac:dyDescent="0.25">
      <c r="A25" s="18">
        <v>15</v>
      </c>
      <c r="B25" s="13" t="str">
        <f>'CONCENTRADO DE DESEMPEÑO'!B25</f>
        <v>NOMBRE DEL FUNCIONARIO</v>
      </c>
      <c r="C25" s="48"/>
      <c r="D25" s="48"/>
      <c r="E25" s="48"/>
      <c r="F25" s="48"/>
      <c r="G25" s="33">
        <f t="shared" si="0"/>
        <v>10</v>
      </c>
      <c r="H25" s="22">
        <f t="shared" si="1"/>
        <v>10</v>
      </c>
      <c r="I25" s="44"/>
    </row>
    <row r="26" spans="1:9" x14ac:dyDescent="0.25">
      <c r="A26" s="4"/>
    </row>
    <row r="27" spans="1:9" x14ac:dyDescent="0.25">
      <c r="A27" s="4" t="s">
        <v>68</v>
      </c>
    </row>
    <row r="28" spans="1:9" x14ac:dyDescent="0.25">
      <c r="A28" s="4" t="s">
        <v>47</v>
      </c>
    </row>
    <row r="29" spans="1:9" ht="28.5" customHeight="1" x14ac:dyDescent="0.25">
      <c r="A29" s="105" t="s">
        <v>21</v>
      </c>
      <c r="B29" s="105"/>
      <c r="C29" s="105"/>
      <c r="D29" s="105"/>
      <c r="E29" s="105"/>
      <c r="F29" s="105"/>
      <c r="G29" s="105"/>
      <c r="H29" s="105"/>
      <c r="I29" s="105"/>
    </row>
    <row r="33" spans="2:8" x14ac:dyDescent="0.25">
      <c r="C33" s="39"/>
      <c r="D33" s="39"/>
      <c r="E33" s="39"/>
      <c r="F33" s="39"/>
      <c r="H33" s="71"/>
    </row>
    <row r="34" spans="2:8" x14ac:dyDescent="0.25">
      <c r="B34" s="15" t="s">
        <v>49</v>
      </c>
      <c r="C34" s="100"/>
      <c r="D34" s="100"/>
      <c r="E34" s="100"/>
      <c r="F34" s="100"/>
      <c r="H34" s="77"/>
    </row>
  </sheetData>
  <mergeCells count="14">
    <mergeCell ref="H4:I4"/>
    <mergeCell ref="C4:E4"/>
    <mergeCell ref="C34:F34"/>
    <mergeCell ref="H8:H10"/>
    <mergeCell ref="A29:I29"/>
    <mergeCell ref="A8:A10"/>
    <mergeCell ref="B8:B10"/>
    <mergeCell ref="I8:I10"/>
    <mergeCell ref="C8:F8"/>
    <mergeCell ref="G8:G10"/>
    <mergeCell ref="D9:D10"/>
    <mergeCell ref="C9:C10"/>
    <mergeCell ref="E9:E10"/>
    <mergeCell ref="F9:F10"/>
  </mergeCells>
  <printOptions horizontalCentered="1"/>
  <pageMargins left="0.25" right="0.25" top="0.75" bottom="0.75" header="0.3" footer="0.3"/>
  <pageSetup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4"/>
  <sheetViews>
    <sheetView showGridLines="0" tabSelected="1" zoomScale="84" zoomScaleNormal="84" workbookViewId="0">
      <selection activeCell="R6" sqref="R6:R7"/>
    </sheetView>
  </sheetViews>
  <sheetFormatPr baseColWidth="10" defaultRowHeight="15" x14ac:dyDescent="0.25"/>
  <cols>
    <col min="2" max="2" width="42.42578125" customWidth="1"/>
    <col min="3" max="3" width="12.28515625" customWidth="1"/>
    <col min="4" max="6" width="10.85546875" customWidth="1"/>
    <col min="7" max="7" width="11.7109375" customWidth="1"/>
    <col min="8" max="8" width="12.28515625" customWidth="1"/>
    <col min="9" max="9" width="41.85546875" customWidth="1"/>
  </cols>
  <sheetData>
    <row r="1" spans="1:9" x14ac:dyDescent="0.25">
      <c r="I1" s="3" t="s">
        <v>30</v>
      </c>
    </row>
    <row r="2" spans="1:9" x14ac:dyDescent="0.25">
      <c r="I2" s="3" t="str">
        <f>'CONCENTRADO DE DESEMPEÑO'!R2</f>
        <v>NAYARIT</v>
      </c>
    </row>
    <row r="3" spans="1:9" x14ac:dyDescent="0.25">
      <c r="A3" s="25"/>
      <c r="B3" s="25"/>
      <c r="C3" s="25"/>
      <c r="D3" s="25"/>
      <c r="E3" s="25"/>
      <c r="F3" s="25"/>
      <c r="G3" s="25"/>
      <c r="H3" s="25"/>
      <c r="I3" s="6" t="s">
        <v>48</v>
      </c>
    </row>
    <row r="4" spans="1:9" ht="43.15" customHeight="1" x14ac:dyDescent="0.25">
      <c r="A4" s="35" t="str">
        <f>'CONCENTRADO DE DESEMPEÑO'!B4</f>
        <v xml:space="preserve">Distrito </v>
      </c>
      <c r="B4" s="31">
        <f>'CONCENTRADO DE DESEMPEÑO'!C4</f>
        <v>1</v>
      </c>
      <c r="C4" s="114"/>
      <c r="D4" s="114"/>
      <c r="E4" s="114"/>
      <c r="F4" s="24"/>
      <c r="G4" s="78"/>
      <c r="H4" s="113" t="str">
        <f>'CONCENTRADO DE DESEMPEÑO'!M4</f>
        <v>Bitácora de desempeño del personal de Módulos de Atención Ciudadana de la Campaña de Actualización Intensa</v>
      </c>
      <c r="I4" s="113"/>
    </row>
    <row r="5" spans="1:9" ht="15.75" x14ac:dyDescent="0.25">
      <c r="A5" s="35" t="str">
        <f>SERVICIO!A8</f>
        <v>Módulo</v>
      </c>
      <c r="B5" s="31">
        <f>'CONCENTRADO DE DESEMPEÑO'!H4</f>
        <v>0</v>
      </c>
      <c r="C5" s="9"/>
      <c r="D5" s="9"/>
      <c r="E5" s="7"/>
      <c r="F5" s="7"/>
      <c r="G5" s="7"/>
      <c r="I5" s="3" t="s">
        <v>50</v>
      </c>
    </row>
    <row r="6" spans="1:9" ht="15.75" x14ac:dyDescent="0.25">
      <c r="A6" s="35"/>
      <c r="B6" s="31"/>
      <c r="C6" s="9"/>
      <c r="D6" s="9"/>
      <c r="E6" s="69" t="str">
        <f>'CONCENTRADO DE DESEMPEÑO'!G5</f>
        <v>Ago-Dic</v>
      </c>
      <c r="F6" s="69"/>
      <c r="G6" s="69" t="str">
        <f>'CONCENTRADO DE DESEMPEÑO'!L5</f>
        <v>CAI</v>
      </c>
      <c r="I6" s="81" t="s">
        <v>94</v>
      </c>
    </row>
    <row r="7" spans="1:9" x14ac:dyDescent="0.25">
      <c r="B7" s="3" t="str">
        <f>SERVICIO!A10</f>
        <v>Periodo de verificación</v>
      </c>
      <c r="C7" s="10" t="str">
        <f>'CONCENTRADO DE DESEMPEÑO'!C6:F6</f>
        <v xml:space="preserve">Cuatrimestre: </v>
      </c>
      <c r="D7" s="59"/>
      <c r="E7" s="57" t="str">
        <f>IF('CONCENTRADO DE DESEMPEÑO'!G6 = 0,"",'CONCENTRADO DE DESEMPEÑO'!G6)</f>
        <v>X</v>
      </c>
      <c r="F7" s="57" t="str">
        <f>'CONCENTRADO DE DESEMPEÑO'!I6</f>
        <v>Campaña</v>
      </c>
      <c r="G7" s="58" t="str">
        <f>'CONCENTRADO DE DESEMPEÑO'!L6</f>
        <v>x</v>
      </c>
      <c r="I7" s="81" t="s">
        <v>95</v>
      </c>
    </row>
    <row r="8" spans="1:9" ht="14.45" customHeight="1" x14ac:dyDescent="0.25">
      <c r="A8" s="97" t="s">
        <v>0</v>
      </c>
      <c r="B8" s="97" t="s">
        <v>1</v>
      </c>
      <c r="C8" s="117" t="str">
        <f>PUNTUALIDAD!C8</f>
        <v>Primer Cuatrimestre</v>
      </c>
      <c r="D8" s="117"/>
      <c r="E8" s="117"/>
      <c r="F8" s="117"/>
      <c r="G8" s="96" t="s">
        <v>77</v>
      </c>
      <c r="H8" s="89" t="s">
        <v>87</v>
      </c>
      <c r="I8" s="96" t="s">
        <v>73</v>
      </c>
    </row>
    <row r="9" spans="1:9" x14ac:dyDescent="0.25">
      <c r="A9" s="97"/>
      <c r="B9" s="97"/>
      <c r="C9" s="118" t="s">
        <v>27</v>
      </c>
      <c r="D9" s="118" t="s">
        <v>85</v>
      </c>
      <c r="E9" s="118" t="s">
        <v>29</v>
      </c>
      <c r="F9" s="118" t="s">
        <v>86</v>
      </c>
      <c r="G9" s="96"/>
      <c r="H9" s="89"/>
      <c r="I9" s="96"/>
    </row>
    <row r="10" spans="1:9" x14ac:dyDescent="0.25">
      <c r="A10" s="97"/>
      <c r="B10" s="97"/>
      <c r="C10" s="119"/>
      <c r="D10" s="119"/>
      <c r="E10" s="119"/>
      <c r="F10" s="119"/>
      <c r="G10" s="96"/>
      <c r="H10" s="89"/>
      <c r="I10" s="96"/>
    </row>
    <row r="11" spans="1:9" ht="21.75" customHeight="1" x14ac:dyDescent="0.25">
      <c r="A11" s="20">
        <v>1</v>
      </c>
      <c r="B11" s="13" t="str">
        <f>'CONCENTRADO DE DESEMPEÑO'!B11</f>
        <v>NOMBRE DEL FUNCIONARIO</v>
      </c>
      <c r="C11" s="48"/>
      <c r="D11" s="48"/>
      <c r="E11" s="48"/>
      <c r="F11" s="48"/>
      <c r="G11" s="33">
        <f>10-((C11+D11+E11+F11)*1.5)</f>
        <v>10</v>
      </c>
      <c r="H11" s="22">
        <f>G11</f>
        <v>10</v>
      </c>
      <c r="I11" s="53"/>
    </row>
    <row r="12" spans="1:9" ht="21.75" customHeight="1" x14ac:dyDescent="0.25">
      <c r="A12" s="20">
        <v>2</v>
      </c>
      <c r="B12" s="13" t="str">
        <f>'CONCENTRADO DE DESEMPEÑO'!B12</f>
        <v>NOMBRE DEL FUNCIONARIO</v>
      </c>
      <c r="C12" s="48"/>
      <c r="D12" s="48"/>
      <c r="E12" s="48"/>
      <c r="F12" s="48"/>
      <c r="G12" s="33">
        <f t="shared" ref="G12:G25" si="0">10-((C12+D12+E12+F12)*1.5)</f>
        <v>10</v>
      </c>
      <c r="H12" s="22">
        <f t="shared" ref="H12:H25" si="1">G12</f>
        <v>10</v>
      </c>
      <c r="I12" s="53"/>
    </row>
    <row r="13" spans="1:9" ht="21.75" customHeight="1" x14ac:dyDescent="0.25">
      <c r="A13" s="20">
        <v>3</v>
      </c>
      <c r="B13" s="13" t="str">
        <f>'CONCENTRADO DE DESEMPEÑO'!B13</f>
        <v>NOMBRE DEL FUNCIONARIO</v>
      </c>
      <c r="C13" s="48"/>
      <c r="D13" s="48"/>
      <c r="E13" s="48"/>
      <c r="F13" s="48"/>
      <c r="G13" s="33">
        <f t="shared" si="0"/>
        <v>10</v>
      </c>
      <c r="H13" s="22">
        <f t="shared" si="1"/>
        <v>10</v>
      </c>
      <c r="I13" s="53"/>
    </row>
    <row r="14" spans="1:9" ht="21.75" customHeight="1" x14ac:dyDescent="0.25">
      <c r="A14" s="20">
        <v>4</v>
      </c>
      <c r="B14" s="13" t="str">
        <f>'CONCENTRADO DE DESEMPEÑO'!B14</f>
        <v>NOMBRE DEL FUNCIONARIO</v>
      </c>
      <c r="C14" s="48"/>
      <c r="D14" s="48"/>
      <c r="E14" s="48"/>
      <c r="F14" s="48"/>
      <c r="G14" s="33">
        <f t="shared" si="0"/>
        <v>10</v>
      </c>
      <c r="H14" s="22">
        <f t="shared" si="1"/>
        <v>10</v>
      </c>
      <c r="I14" s="53"/>
    </row>
    <row r="15" spans="1:9" ht="21.75" customHeight="1" x14ac:dyDescent="0.25">
      <c r="A15" s="20">
        <v>5</v>
      </c>
      <c r="B15" s="13" t="str">
        <f>'CONCENTRADO DE DESEMPEÑO'!B15</f>
        <v>NOMBRE DEL FUNCIONARIO</v>
      </c>
      <c r="C15" s="48"/>
      <c r="D15" s="48"/>
      <c r="E15" s="48"/>
      <c r="F15" s="48"/>
      <c r="G15" s="33">
        <f t="shared" si="0"/>
        <v>10</v>
      </c>
      <c r="H15" s="22">
        <f t="shared" si="1"/>
        <v>10</v>
      </c>
      <c r="I15" s="53"/>
    </row>
    <row r="16" spans="1:9" ht="21.75" customHeight="1" x14ac:dyDescent="0.25">
      <c r="A16" s="20">
        <v>6</v>
      </c>
      <c r="B16" s="13" t="str">
        <f>'CONCENTRADO DE DESEMPEÑO'!B16</f>
        <v>NOMBRE DEL FUNCIONARIO</v>
      </c>
      <c r="C16" s="48"/>
      <c r="D16" s="48"/>
      <c r="E16" s="48"/>
      <c r="F16" s="48"/>
      <c r="G16" s="33">
        <f t="shared" si="0"/>
        <v>10</v>
      </c>
      <c r="H16" s="22">
        <f t="shared" si="1"/>
        <v>10</v>
      </c>
      <c r="I16" s="53"/>
    </row>
    <row r="17" spans="1:9" ht="21.75" customHeight="1" x14ac:dyDescent="0.25">
      <c r="A17" s="20">
        <v>7</v>
      </c>
      <c r="B17" s="13" t="str">
        <f>'CONCENTRADO DE DESEMPEÑO'!B17</f>
        <v>NOMBRE DEL FUNCIONARIO</v>
      </c>
      <c r="C17" s="48"/>
      <c r="D17" s="48"/>
      <c r="E17" s="48"/>
      <c r="F17" s="48"/>
      <c r="G17" s="33">
        <f t="shared" si="0"/>
        <v>10</v>
      </c>
      <c r="H17" s="22">
        <f t="shared" si="1"/>
        <v>10</v>
      </c>
      <c r="I17" s="53"/>
    </row>
    <row r="18" spans="1:9" ht="21.75" customHeight="1" x14ac:dyDescent="0.25">
      <c r="A18" s="20">
        <v>8</v>
      </c>
      <c r="B18" s="13" t="str">
        <f>'CONCENTRADO DE DESEMPEÑO'!B18</f>
        <v>NOMBRE DEL FUNCIONARIO</v>
      </c>
      <c r="C18" s="48"/>
      <c r="D18" s="48"/>
      <c r="E18" s="48"/>
      <c r="F18" s="48"/>
      <c r="G18" s="33">
        <f t="shared" si="0"/>
        <v>10</v>
      </c>
      <c r="H18" s="22">
        <f t="shared" si="1"/>
        <v>10</v>
      </c>
      <c r="I18" s="53"/>
    </row>
    <row r="19" spans="1:9" ht="21.75" customHeight="1" x14ac:dyDescent="0.25">
      <c r="A19" s="20">
        <v>9</v>
      </c>
      <c r="B19" s="13" t="str">
        <f>'CONCENTRADO DE DESEMPEÑO'!B19</f>
        <v>NOMBRE DEL FUNCIONARIO</v>
      </c>
      <c r="C19" s="48"/>
      <c r="D19" s="48"/>
      <c r="E19" s="48"/>
      <c r="F19" s="48"/>
      <c r="G19" s="33">
        <f t="shared" si="0"/>
        <v>10</v>
      </c>
      <c r="H19" s="22">
        <f t="shared" si="1"/>
        <v>10</v>
      </c>
      <c r="I19" s="53"/>
    </row>
    <row r="20" spans="1:9" ht="21.75" customHeight="1" x14ac:dyDescent="0.25">
      <c r="A20" s="20">
        <v>10</v>
      </c>
      <c r="B20" s="13" t="str">
        <f>'CONCENTRADO DE DESEMPEÑO'!B20</f>
        <v>NOMBRE DEL FUNCIONARIO</v>
      </c>
      <c r="C20" s="48"/>
      <c r="D20" s="48"/>
      <c r="E20" s="48"/>
      <c r="F20" s="48"/>
      <c r="G20" s="33">
        <f t="shared" si="0"/>
        <v>10</v>
      </c>
      <c r="H20" s="22">
        <f t="shared" si="1"/>
        <v>10</v>
      </c>
      <c r="I20" s="53"/>
    </row>
    <row r="21" spans="1:9" ht="21.75" customHeight="1" x14ac:dyDescent="0.25">
      <c r="A21" s="20">
        <v>11</v>
      </c>
      <c r="B21" s="13" t="str">
        <f>'CONCENTRADO DE DESEMPEÑO'!B21</f>
        <v>NOMBRE DEL FUNCIONARIO</v>
      </c>
      <c r="C21" s="48"/>
      <c r="D21" s="48"/>
      <c r="E21" s="48"/>
      <c r="F21" s="48"/>
      <c r="G21" s="33">
        <f t="shared" si="0"/>
        <v>10</v>
      </c>
      <c r="H21" s="22">
        <f t="shared" si="1"/>
        <v>10</v>
      </c>
      <c r="I21" s="53"/>
    </row>
    <row r="22" spans="1:9" ht="21.75" customHeight="1" x14ac:dyDescent="0.25">
      <c r="A22" s="20">
        <v>12</v>
      </c>
      <c r="B22" s="13" t="str">
        <f>'CONCENTRADO DE DESEMPEÑO'!B22</f>
        <v>NOMBRE DEL FUNCIONARIO</v>
      </c>
      <c r="C22" s="48"/>
      <c r="D22" s="48"/>
      <c r="E22" s="48"/>
      <c r="F22" s="48"/>
      <c r="G22" s="33">
        <f t="shared" si="0"/>
        <v>10</v>
      </c>
      <c r="H22" s="22">
        <f t="shared" si="1"/>
        <v>10</v>
      </c>
      <c r="I22" s="53"/>
    </row>
    <row r="23" spans="1:9" ht="21.75" customHeight="1" x14ac:dyDescent="0.25">
      <c r="A23" s="20">
        <v>13</v>
      </c>
      <c r="B23" s="13" t="str">
        <f>'CONCENTRADO DE DESEMPEÑO'!B23</f>
        <v>NOMBRE DEL FUNCIONARIO</v>
      </c>
      <c r="C23" s="48"/>
      <c r="D23" s="48"/>
      <c r="E23" s="48"/>
      <c r="F23" s="48"/>
      <c r="G23" s="33">
        <f t="shared" si="0"/>
        <v>10</v>
      </c>
      <c r="H23" s="22">
        <f t="shared" si="1"/>
        <v>10</v>
      </c>
      <c r="I23" s="53"/>
    </row>
    <row r="24" spans="1:9" ht="21.75" customHeight="1" x14ac:dyDescent="0.25">
      <c r="A24" s="20">
        <v>14</v>
      </c>
      <c r="B24" s="13" t="str">
        <f>'CONCENTRADO DE DESEMPEÑO'!B24</f>
        <v>NOMBRE DEL FUNCIONARIO</v>
      </c>
      <c r="C24" s="48"/>
      <c r="D24" s="48"/>
      <c r="E24" s="48"/>
      <c r="F24" s="48"/>
      <c r="G24" s="33">
        <f t="shared" si="0"/>
        <v>10</v>
      </c>
      <c r="H24" s="22">
        <f t="shared" si="1"/>
        <v>10</v>
      </c>
      <c r="I24" s="53"/>
    </row>
    <row r="25" spans="1:9" ht="21.75" customHeight="1" x14ac:dyDescent="0.25">
      <c r="A25" s="20">
        <v>15</v>
      </c>
      <c r="B25" s="13" t="str">
        <f>'CONCENTRADO DE DESEMPEÑO'!B25</f>
        <v>NOMBRE DEL FUNCIONARIO</v>
      </c>
      <c r="C25" s="48"/>
      <c r="D25" s="48"/>
      <c r="E25" s="48"/>
      <c r="F25" s="48"/>
      <c r="G25" s="33">
        <f t="shared" si="0"/>
        <v>10</v>
      </c>
      <c r="H25" s="22">
        <f t="shared" si="1"/>
        <v>10</v>
      </c>
      <c r="I25" s="53"/>
    </row>
    <row r="26" spans="1:9" x14ac:dyDescent="0.25">
      <c r="A26" s="4"/>
    </row>
    <row r="27" spans="1:9" x14ac:dyDescent="0.25">
      <c r="A27" s="4" t="s">
        <v>69</v>
      </c>
    </row>
    <row r="28" spans="1:9" x14ac:dyDescent="0.25">
      <c r="A28" s="4" t="s">
        <v>47</v>
      </c>
    </row>
    <row r="29" spans="1:9" ht="28.5" customHeight="1" x14ac:dyDescent="0.25">
      <c r="A29" s="105" t="s">
        <v>21</v>
      </c>
      <c r="B29" s="105"/>
      <c r="C29" s="105"/>
      <c r="D29" s="105"/>
      <c r="E29" s="105"/>
      <c r="F29" s="105"/>
      <c r="G29" s="105"/>
      <c r="H29" s="105"/>
      <c r="I29" s="105"/>
    </row>
    <row r="33" spans="3:6" x14ac:dyDescent="0.25">
      <c r="C33" s="86"/>
      <c r="D33" s="86"/>
      <c r="E33" s="86"/>
      <c r="F33" s="86"/>
    </row>
    <row r="34" spans="3:6" x14ac:dyDescent="0.25">
      <c r="C34" s="100" t="s">
        <v>23</v>
      </c>
      <c r="D34" s="100"/>
      <c r="E34" s="100"/>
      <c r="F34" s="100"/>
    </row>
  </sheetData>
  <mergeCells count="15">
    <mergeCell ref="C34:F34"/>
    <mergeCell ref="A29:I29"/>
    <mergeCell ref="C33:F33"/>
    <mergeCell ref="H4:I4"/>
    <mergeCell ref="C4:E4"/>
    <mergeCell ref="A8:A10"/>
    <mergeCell ref="B8:B10"/>
    <mergeCell ref="C8:F8"/>
    <mergeCell ref="G8:G10"/>
    <mergeCell ref="D9:D10"/>
    <mergeCell ref="H8:H10"/>
    <mergeCell ref="I8:I10"/>
    <mergeCell ref="C9:C10"/>
    <mergeCell ref="E9:E10"/>
    <mergeCell ref="F9:F10"/>
  </mergeCells>
  <printOptions horizontalCentered="1"/>
  <pageMargins left="0.23622047244094491" right="0.23622047244094491" top="0.74803149606299213" bottom="0.74803149606299213" header="0.31496062992125984" footer="0.31496062992125984"/>
  <pageSetup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7"/>
  <sheetViews>
    <sheetView showGridLines="0" tabSelected="1" workbookViewId="0">
      <selection activeCell="R6" sqref="R6:R7"/>
    </sheetView>
  </sheetViews>
  <sheetFormatPr baseColWidth="10" defaultRowHeight="15" x14ac:dyDescent="0.25"/>
  <cols>
    <col min="1" max="1" width="8.7109375" customWidth="1"/>
    <col min="2" max="2" width="41.140625" customWidth="1"/>
    <col min="3" max="4" width="5.85546875" customWidth="1"/>
    <col min="5" max="5" width="6.85546875" customWidth="1"/>
    <col min="6" max="6" width="5.85546875" customWidth="1"/>
    <col min="7" max="7" width="7.42578125" customWidth="1"/>
    <col min="8" max="12" width="5.85546875" customWidth="1"/>
    <col min="13" max="13" width="10.7109375" customWidth="1"/>
    <col min="14" max="14" width="13.140625" customWidth="1"/>
    <col min="15" max="15" width="15.28515625" customWidth="1"/>
  </cols>
  <sheetData>
    <row r="1" spans="1:15" x14ac:dyDescent="0.25">
      <c r="O1" s="3" t="s">
        <v>30</v>
      </c>
    </row>
    <row r="2" spans="1:15" x14ac:dyDescent="0.25">
      <c r="O2" s="3" t="str">
        <f>'CONCENTRADO DE DESEMPEÑO'!R2</f>
        <v>NAYARIT</v>
      </c>
    </row>
    <row r="3" spans="1:1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6" t="s">
        <v>48</v>
      </c>
    </row>
    <row r="4" spans="1:15" ht="31.9" customHeight="1" x14ac:dyDescent="0.25">
      <c r="A4" s="35" t="str">
        <f>'CONCENTRADO DE DESEMPEÑO'!B4</f>
        <v xml:space="preserve">Distrito </v>
      </c>
      <c r="B4" s="31">
        <f>'CONCENTRADO DE DESEMPEÑO'!C4</f>
        <v>1</v>
      </c>
      <c r="C4" s="31"/>
      <c r="D4" s="31"/>
      <c r="E4" s="31"/>
      <c r="F4" s="31"/>
      <c r="G4" s="31"/>
      <c r="H4" s="31"/>
      <c r="I4" s="31"/>
      <c r="J4" s="120" t="str">
        <f>'CONCENTRADO DE DESEMPEÑO'!M4</f>
        <v>Bitácora de desempeño del personal de Módulos de Atención Ciudadana de la Campaña de Actualización Intensa</v>
      </c>
      <c r="K4" s="120"/>
      <c r="L4" s="120"/>
      <c r="M4" s="120"/>
      <c r="N4" s="120"/>
      <c r="O4" s="120"/>
    </row>
    <row r="5" spans="1:15" ht="15.75" x14ac:dyDescent="0.25">
      <c r="A5" s="35" t="str">
        <f>SERVICIO!A8</f>
        <v>Módulo</v>
      </c>
      <c r="B5" s="31">
        <f>'CONCENTRADO DE DESEMPEÑO'!H4</f>
        <v>0</v>
      </c>
      <c r="C5" s="31"/>
      <c r="D5" s="31"/>
      <c r="E5" s="31"/>
      <c r="F5" s="31"/>
      <c r="G5" s="31"/>
      <c r="H5" s="31"/>
      <c r="I5" s="31"/>
      <c r="J5" s="31"/>
      <c r="K5" s="31"/>
      <c r="L5" s="9"/>
      <c r="M5" s="9"/>
      <c r="N5" s="7"/>
      <c r="O5" s="3" t="s">
        <v>51</v>
      </c>
    </row>
    <row r="6" spans="1:15" ht="15.75" x14ac:dyDescent="0.25">
      <c r="A6" s="35"/>
      <c r="B6" s="31"/>
      <c r="C6" s="31"/>
      <c r="D6" s="31"/>
      <c r="E6" s="83" t="str">
        <f>'CONCENTRADO DE DESEMPEÑO'!G5</f>
        <v>Ago-Dic</v>
      </c>
      <c r="F6" s="7"/>
      <c r="G6" s="7"/>
      <c r="H6" s="7"/>
      <c r="I6" s="83" t="str">
        <f>'CONCENTRADO DE DESEMPEÑO'!L5</f>
        <v>CAI</v>
      </c>
      <c r="J6" s="31"/>
      <c r="K6" s="31"/>
      <c r="L6" s="9"/>
      <c r="M6" s="4"/>
      <c r="N6" s="73"/>
      <c r="O6" s="81" t="s">
        <v>94</v>
      </c>
    </row>
    <row r="7" spans="1:15" x14ac:dyDescent="0.25">
      <c r="B7" s="3" t="str">
        <f>SERVICIO!A10</f>
        <v>Periodo de verificación</v>
      </c>
      <c r="C7" s="122" t="str">
        <f>'CONCENTRADO DE DESEMPEÑO'!C6:F6</f>
        <v xml:space="preserve">Cuatrimestre: </v>
      </c>
      <c r="D7" s="122"/>
      <c r="E7" s="83" t="str">
        <f>IF('CONCENTRADO DE DESEMPEÑO'!G6 = 0,"",'CONCENTRADO DE DESEMPEÑO'!G6)</f>
        <v>X</v>
      </c>
      <c r="F7" s="56"/>
      <c r="G7" s="56" t="str">
        <f>'CONCENTRADO DE DESEMPEÑO'!I6</f>
        <v>Campaña</v>
      </c>
      <c r="H7" s="56"/>
      <c r="I7" s="83" t="str">
        <f>'CONCENTRADO DE DESEMPEÑO'!L6</f>
        <v>x</v>
      </c>
      <c r="J7" s="3"/>
      <c r="K7" s="3"/>
      <c r="L7" s="26"/>
      <c r="M7" s="9"/>
      <c r="N7" s="74"/>
      <c r="O7" s="81" t="s">
        <v>95</v>
      </c>
    </row>
    <row r="8" spans="1:15" ht="15" customHeight="1" x14ac:dyDescent="0.25">
      <c r="A8" s="97" t="s">
        <v>0</v>
      </c>
      <c r="B8" s="97" t="s">
        <v>1</v>
      </c>
      <c r="C8" s="117" t="s">
        <v>78</v>
      </c>
      <c r="D8" s="117"/>
      <c r="E8" s="117"/>
      <c r="F8" s="117"/>
      <c r="G8" s="117"/>
      <c r="H8" s="117"/>
      <c r="I8" s="117"/>
      <c r="J8" s="117"/>
      <c r="K8" s="117"/>
      <c r="L8" s="117"/>
      <c r="M8" s="89" t="s">
        <v>53</v>
      </c>
      <c r="N8" s="89" t="s">
        <v>52</v>
      </c>
      <c r="O8" s="89" t="s">
        <v>87</v>
      </c>
    </row>
    <row r="9" spans="1:15" x14ac:dyDescent="0.25">
      <c r="A9" s="97"/>
      <c r="B9" s="97"/>
      <c r="C9" s="123" t="s">
        <v>88</v>
      </c>
      <c r="D9" s="123"/>
      <c r="E9" s="123"/>
      <c r="F9" s="123"/>
      <c r="G9" s="123"/>
      <c r="H9" s="123"/>
      <c r="I9" s="123"/>
      <c r="J9" s="123"/>
      <c r="K9" s="123"/>
      <c r="L9" s="123"/>
      <c r="M9" s="89"/>
      <c r="N9" s="89"/>
      <c r="O9" s="89"/>
    </row>
    <row r="10" spans="1:15" ht="28.5" customHeight="1" x14ac:dyDescent="0.25">
      <c r="A10" s="97"/>
      <c r="B10" s="97"/>
      <c r="C10" s="66">
        <v>1</v>
      </c>
      <c r="D10" s="66">
        <v>2</v>
      </c>
      <c r="E10" s="66">
        <v>3</v>
      </c>
      <c r="F10" s="66">
        <v>4</v>
      </c>
      <c r="G10" s="66">
        <v>5</v>
      </c>
      <c r="H10" s="66">
        <v>6</v>
      </c>
      <c r="I10" s="66">
        <v>7</v>
      </c>
      <c r="J10" s="66">
        <v>8</v>
      </c>
      <c r="K10" s="66">
        <v>9</v>
      </c>
      <c r="L10" s="67">
        <v>10</v>
      </c>
      <c r="M10" s="89"/>
      <c r="N10" s="89"/>
      <c r="O10" s="89"/>
    </row>
    <row r="11" spans="1:15" ht="21.75" customHeight="1" x14ac:dyDescent="0.25">
      <c r="A11" s="20">
        <v>1</v>
      </c>
      <c r="B11" s="13" t="str">
        <f>'CONCENTRADO DE DESEMPEÑO'!B11</f>
        <v>NOMBRE DEL FUNCIONARIO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41">
        <f>SUM(C11:L11)/10</f>
        <v>0</v>
      </c>
      <c r="N11" s="29">
        <f>IF(M11&lt;=8.13, 10, IF(M11&lt;=9.13, 9,IF(M11&lt;=10.13,8, IF(M11&gt;=10.14, 7,))))</f>
        <v>10</v>
      </c>
      <c r="O11" s="40">
        <f>N11</f>
        <v>10</v>
      </c>
    </row>
    <row r="12" spans="1:15" ht="21.75" customHeight="1" x14ac:dyDescent="0.25">
      <c r="A12" s="20">
        <v>2</v>
      </c>
      <c r="B12" s="13" t="str">
        <f>'CONCENTRADO DE DESEMPEÑO'!B12</f>
        <v>NOMBRE DEL FUNCIONARIO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41">
        <f t="shared" ref="M12:M25" si="0">SUM(C12:L12)/10</f>
        <v>0</v>
      </c>
      <c r="N12" s="29">
        <f t="shared" ref="N12:N25" si="1">IF(M12&lt;=8.13, 10, IF(M12&lt;=9.13, 9,IF(M12&lt;=10.13,8, IF(M12&gt;=10.14, 7,))))</f>
        <v>10</v>
      </c>
      <c r="O12" s="40">
        <f t="shared" ref="O12:O25" si="2">N12</f>
        <v>10</v>
      </c>
    </row>
    <row r="13" spans="1:15" ht="21.75" customHeight="1" x14ac:dyDescent="0.25">
      <c r="A13" s="20">
        <v>3</v>
      </c>
      <c r="B13" s="13" t="str">
        <f>'CONCENTRADO DE DESEMPEÑO'!B13</f>
        <v>NOMBRE DEL FUNCIONARIO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41">
        <f t="shared" si="0"/>
        <v>0</v>
      </c>
      <c r="N13" s="29">
        <f t="shared" si="1"/>
        <v>10</v>
      </c>
      <c r="O13" s="40">
        <f t="shared" si="2"/>
        <v>10</v>
      </c>
    </row>
    <row r="14" spans="1:15" ht="21.75" customHeight="1" x14ac:dyDescent="0.25">
      <c r="A14" s="20">
        <v>4</v>
      </c>
      <c r="B14" s="13" t="str">
        <f>'CONCENTRADO DE DESEMPEÑO'!B14</f>
        <v>NOMBRE DEL FUNCIONARIO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41">
        <f t="shared" si="0"/>
        <v>0</v>
      </c>
      <c r="N14" s="29">
        <f t="shared" si="1"/>
        <v>10</v>
      </c>
      <c r="O14" s="40">
        <f t="shared" si="2"/>
        <v>10</v>
      </c>
    </row>
    <row r="15" spans="1:15" ht="21.75" customHeight="1" x14ac:dyDescent="0.25">
      <c r="A15" s="20">
        <v>5</v>
      </c>
      <c r="B15" s="13" t="str">
        <f>'CONCENTRADO DE DESEMPEÑO'!B15</f>
        <v>NOMBRE DEL FUNCIONARIO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41">
        <f t="shared" si="0"/>
        <v>0</v>
      </c>
      <c r="N15" s="29">
        <f t="shared" si="1"/>
        <v>10</v>
      </c>
      <c r="O15" s="40">
        <f t="shared" si="2"/>
        <v>10</v>
      </c>
    </row>
    <row r="16" spans="1:15" ht="21.75" customHeight="1" x14ac:dyDescent="0.25">
      <c r="A16" s="20">
        <v>6</v>
      </c>
      <c r="B16" s="13" t="str">
        <f>'CONCENTRADO DE DESEMPEÑO'!B16</f>
        <v>NOMBRE DEL FUNCIONARIO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41">
        <f t="shared" si="0"/>
        <v>0</v>
      </c>
      <c r="N16" s="29">
        <f t="shared" si="1"/>
        <v>10</v>
      </c>
      <c r="O16" s="40">
        <f t="shared" si="2"/>
        <v>10</v>
      </c>
    </row>
    <row r="17" spans="1:15" ht="21.75" customHeight="1" x14ac:dyDescent="0.25">
      <c r="A17" s="20">
        <v>7</v>
      </c>
      <c r="B17" s="13" t="str">
        <f>'CONCENTRADO DE DESEMPEÑO'!B17</f>
        <v>NOMBRE DEL FUNCIONARIO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41">
        <f t="shared" si="0"/>
        <v>0</v>
      </c>
      <c r="N17" s="29">
        <f t="shared" si="1"/>
        <v>10</v>
      </c>
      <c r="O17" s="40">
        <f t="shared" si="2"/>
        <v>10</v>
      </c>
    </row>
    <row r="18" spans="1:15" ht="21.75" customHeight="1" x14ac:dyDescent="0.25">
      <c r="A18" s="20">
        <v>8</v>
      </c>
      <c r="B18" s="13" t="str">
        <f>'CONCENTRADO DE DESEMPEÑO'!B18</f>
        <v>NOMBRE DEL FUNCIONARIO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41">
        <f t="shared" si="0"/>
        <v>0</v>
      </c>
      <c r="N18" s="29">
        <f t="shared" si="1"/>
        <v>10</v>
      </c>
      <c r="O18" s="40">
        <f t="shared" si="2"/>
        <v>10</v>
      </c>
    </row>
    <row r="19" spans="1:15" ht="21.75" customHeight="1" x14ac:dyDescent="0.25">
      <c r="A19" s="20">
        <v>9</v>
      </c>
      <c r="B19" s="13" t="str">
        <f>'CONCENTRADO DE DESEMPEÑO'!B19</f>
        <v>NOMBRE DEL FUNCIONARIO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41">
        <f t="shared" si="0"/>
        <v>0</v>
      </c>
      <c r="N19" s="29">
        <f t="shared" si="1"/>
        <v>10</v>
      </c>
      <c r="O19" s="40">
        <f t="shared" si="2"/>
        <v>10</v>
      </c>
    </row>
    <row r="20" spans="1:15" ht="21.75" customHeight="1" x14ac:dyDescent="0.25">
      <c r="A20" s="20">
        <v>10</v>
      </c>
      <c r="B20" s="13" t="str">
        <f>'CONCENTRADO DE DESEMPEÑO'!B20</f>
        <v>NOMBRE DEL FUNCIONARIO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41">
        <f t="shared" si="0"/>
        <v>0</v>
      </c>
      <c r="N20" s="29">
        <f t="shared" si="1"/>
        <v>10</v>
      </c>
      <c r="O20" s="40">
        <f t="shared" si="2"/>
        <v>10</v>
      </c>
    </row>
    <row r="21" spans="1:15" ht="21.75" customHeight="1" x14ac:dyDescent="0.25">
      <c r="A21" s="20">
        <v>11</v>
      </c>
      <c r="B21" s="13" t="str">
        <f>'CONCENTRADO DE DESEMPEÑO'!B21</f>
        <v>NOMBRE DEL FUNCIONARIO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41">
        <f t="shared" si="0"/>
        <v>0</v>
      </c>
      <c r="N21" s="29">
        <f t="shared" si="1"/>
        <v>10</v>
      </c>
      <c r="O21" s="40">
        <f t="shared" si="2"/>
        <v>10</v>
      </c>
    </row>
    <row r="22" spans="1:15" ht="21.75" customHeight="1" x14ac:dyDescent="0.25">
      <c r="A22" s="20">
        <v>12</v>
      </c>
      <c r="B22" s="13" t="str">
        <f>'CONCENTRADO DE DESEMPEÑO'!B22</f>
        <v>NOMBRE DEL FUNCIONARIO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41">
        <f t="shared" si="0"/>
        <v>0</v>
      </c>
      <c r="N22" s="29">
        <f t="shared" si="1"/>
        <v>10</v>
      </c>
      <c r="O22" s="40">
        <f t="shared" si="2"/>
        <v>10</v>
      </c>
    </row>
    <row r="23" spans="1:15" ht="21.75" customHeight="1" x14ac:dyDescent="0.25">
      <c r="A23" s="20">
        <v>13</v>
      </c>
      <c r="B23" s="13" t="str">
        <f>'CONCENTRADO DE DESEMPEÑO'!B23</f>
        <v>NOMBRE DEL FUNCIONARIO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41">
        <f t="shared" si="0"/>
        <v>0</v>
      </c>
      <c r="N23" s="29">
        <f t="shared" si="1"/>
        <v>10</v>
      </c>
      <c r="O23" s="40">
        <f t="shared" si="2"/>
        <v>10</v>
      </c>
    </row>
    <row r="24" spans="1:15" ht="21.75" customHeight="1" x14ac:dyDescent="0.25">
      <c r="A24" s="20">
        <v>14</v>
      </c>
      <c r="B24" s="13" t="str">
        <f>'CONCENTRADO DE DESEMPEÑO'!B24</f>
        <v>NOMBRE DEL FUNCIONARIO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41">
        <f t="shared" si="0"/>
        <v>0</v>
      </c>
      <c r="N24" s="29">
        <f t="shared" si="1"/>
        <v>10</v>
      </c>
      <c r="O24" s="40">
        <f t="shared" si="2"/>
        <v>10</v>
      </c>
    </row>
    <row r="25" spans="1:15" ht="28.5" customHeight="1" x14ac:dyDescent="0.25">
      <c r="A25" s="20">
        <v>15</v>
      </c>
      <c r="B25" s="13" t="str">
        <f>'CONCENTRADO DE DESEMPEÑO'!B25</f>
        <v>NOMBRE DEL FUNCIONARIO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41">
        <f t="shared" si="0"/>
        <v>0</v>
      </c>
      <c r="N25" s="29">
        <f t="shared" si="1"/>
        <v>10</v>
      </c>
      <c r="O25" s="40">
        <f t="shared" si="2"/>
        <v>10</v>
      </c>
    </row>
    <row r="26" spans="1:15" x14ac:dyDescent="0.25">
      <c r="A26" s="4" t="s">
        <v>58</v>
      </c>
    </row>
    <row r="27" spans="1:15" x14ac:dyDescent="0.25">
      <c r="A27" s="4" t="s">
        <v>60</v>
      </c>
    </row>
    <row r="28" spans="1:15" x14ac:dyDescent="0.25">
      <c r="A28" s="8">
        <v>10</v>
      </c>
      <c r="B28" t="s">
        <v>54</v>
      </c>
    </row>
    <row r="29" spans="1:15" x14ac:dyDescent="0.25">
      <c r="A29" s="8">
        <v>9</v>
      </c>
      <c r="B29" t="s">
        <v>55</v>
      </c>
    </row>
    <row r="30" spans="1:15" x14ac:dyDescent="0.25">
      <c r="A30" s="8">
        <v>8</v>
      </c>
      <c r="B30" t="s">
        <v>56</v>
      </c>
    </row>
    <row r="31" spans="1:15" x14ac:dyDescent="0.25">
      <c r="A31" s="8">
        <v>7</v>
      </c>
      <c r="B31" t="s">
        <v>57</v>
      </c>
    </row>
    <row r="32" spans="1:15" ht="28.5" customHeight="1" x14ac:dyDescent="0.25">
      <c r="A32" s="90" t="s">
        <v>21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</row>
    <row r="36" spans="3:13" x14ac:dyDescent="0.25">
      <c r="L36" s="19"/>
      <c r="M36" s="19"/>
    </row>
    <row r="37" spans="3:13" x14ac:dyDescent="0.25">
      <c r="C37" s="121" t="s">
        <v>23</v>
      </c>
      <c r="D37" s="121"/>
      <c r="E37" s="121"/>
      <c r="F37" s="121"/>
      <c r="G37" s="121"/>
      <c r="H37" s="121"/>
      <c r="I37" s="121"/>
      <c r="J37" s="19"/>
      <c r="K37" s="19"/>
      <c r="L37" s="19"/>
      <c r="M37" s="19"/>
    </row>
  </sheetData>
  <mergeCells count="11">
    <mergeCell ref="J4:O4"/>
    <mergeCell ref="C37:I37"/>
    <mergeCell ref="C7:D7"/>
    <mergeCell ref="A32:O32"/>
    <mergeCell ref="C8:L8"/>
    <mergeCell ref="C9:L9"/>
    <mergeCell ref="M8:M10"/>
    <mergeCell ref="O8:O10"/>
    <mergeCell ref="A8:A10"/>
    <mergeCell ref="B8:B10"/>
    <mergeCell ref="N8:N10"/>
  </mergeCells>
  <printOptions horizontalCentered="1"/>
  <pageMargins left="0.23622047244094491" right="0.23622047244094491" top="0.74803149606299213" bottom="0.74803149606299213" header="0.31496062992125984" footer="0.31496062992125984"/>
  <pageSetup scale="7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5" sqref="I5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4B60074F66A845944F5A665894DC76" ma:contentTypeVersion="2" ma:contentTypeDescription="Crear nuevo documento." ma:contentTypeScope="" ma:versionID="27a25a111bb8898a755bdf85c690d918">
  <xsd:schema xmlns:xsd="http://www.w3.org/2001/XMLSchema" xmlns:xs="http://www.w3.org/2001/XMLSchema" xmlns:p="http://schemas.microsoft.com/office/2006/metadata/properties" xmlns:ns2="3f27d485-b4cd-4293-9d82-63b21de41649" targetNamespace="http://schemas.microsoft.com/office/2006/metadata/properties" ma:root="true" ma:fieldsID="bd77285fc83ce77b7ef86751dcdc1044" ns2:_="">
    <xsd:import namespace="3f27d485-b4cd-4293-9d82-63b21de416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7d485-b4cd-4293-9d82-63b21de416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541F6C-8631-4840-9240-FA28A45C2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27d485-b4cd-4293-9d82-63b21de416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9F9E54-3318-4A95-BC41-64F785B337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E21D48C-0D7F-405B-A095-424EA2B716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CONCENTRADO DE DESEMPEÑO</vt:lpstr>
      <vt:lpstr>PUNTUALIDAD</vt:lpstr>
      <vt:lpstr>SERVICIO</vt:lpstr>
      <vt:lpstr>IMAGEN</vt:lpstr>
      <vt:lpstr>NORMATIVO</vt:lpstr>
      <vt:lpstr>PRODUCTIVIDAD</vt:lpstr>
      <vt:lpstr>TESTIGO DE FILTRADO DE CAPTURA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BAUTISTA DURAN DOMINGO</dc:creator>
  <cp:lastModifiedBy>PALACIOS MARTINEZ DANIEL</cp:lastModifiedBy>
  <cp:lastPrinted>2020-08-07T18:52:17Z</cp:lastPrinted>
  <dcterms:created xsi:type="dcterms:W3CDTF">2019-10-09T17:30:52Z</dcterms:created>
  <dcterms:modified xsi:type="dcterms:W3CDTF">2020-08-07T18:52:32Z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0x010100654B60074F66A845944F5A665894DC76</vt:lpwstr>
  </property>
</Properties>
</file>