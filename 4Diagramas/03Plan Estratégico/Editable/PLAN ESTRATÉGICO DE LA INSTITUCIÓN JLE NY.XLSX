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01"/>
  <workbookPr codeName="ThisWorkbook" hidePivotFieldList="1"/>
  <mc:AlternateContent xmlns:mc="http://schemas.openxmlformats.org/markup-compatibility/2006">
    <mc:Choice Requires="x15">
      <x15ac:absPath xmlns:x15ac="http://schemas.microsoft.com/office/spreadsheetml/2010/11/ac" url="C:\Users\blanc\Desktop\INE-TRABAJO DESDE CASA\SGC NAYARIT\4. CONTEXTO DE LA ORGANIZACIÓN\EDITABLES\"/>
    </mc:Choice>
  </mc:AlternateContent>
  <xr:revisionPtr revIDLastSave="0" documentId="8_{4821B22D-5582-4FCD-8EAC-3C2CDB341F29}" xr6:coauthVersionLast="45" xr6:coauthVersionMax="45" xr10:uidLastSave="{00000000-0000-0000-0000-000000000000}"/>
  <bookViews>
    <workbookView xWindow="-98" yWindow="-98" windowWidth="24196" windowHeight="13096" tabRatio="831" firstSheet="1" activeTab="1" xr2:uid="{00000000-000D-0000-FFFF-FFFF00000000}"/>
  </bookViews>
  <sheets>
    <sheet name="INDICE" sheetId="38" r:id="rId1"/>
    <sheet name="INTRO" sheetId="39" r:id="rId2"/>
    <sheet name="1a. Misión, Visión" sheetId="40" r:id="rId3"/>
    <sheet name="1b. Política y Objetivos" sheetId="41" r:id="rId4"/>
    <sheet name="2a. Análisis Foda" sheetId="59" r:id="rId5"/>
    <sheet name="2b. Matriz Posicionamiento" sheetId="60" r:id="rId6"/>
    <sheet name="3a.Matríz de Partes Interesadas" sheetId="54" r:id="rId7"/>
    <sheet name="4a. Parámetros de riesgo" sheetId="32" r:id="rId8"/>
    <sheet name="4b. Matriz - Contexto" sheetId="20" r:id="rId9"/>
    <sheet name="Perfiles" sheetId="49" state="hidden" r:id="rId10"/>
    <sheet name="Ponderación" sheetId="7" state="hidden" r:id="rId11"/>
  </sheets>
  <externalReferences>
    <externalReference r:id="rId12"/>
    <externalReference r:id="rId13"/>
    <externalReference r:id="rId14"/>
  </externalReferences>
  <definedNames>
    <definedName name="AMENAZARAS">[1]CÁLCULOS!$B$29:$B$30</definedName>
    <definedName name="_xlnm.Print_Area" localSheetId="2">'1a. Misión, Visión'!$A$1:$J$22</definedName>
    <definedName name="_xlnm.Print_Area" localSheetId="3">'1b. Política y Objetivos'!$A$1:$O$17</definedName>
    <definedName name="_xlnm.Print_Area" localSheetId="4">'2a. Análisis Foda'!$A$1:$Y$56</definedName>
    <definedName name="_xlnm.Print_Area" localSheetId="5">'2b. Matriz Posicionamiento'!$A$1:$BQ$37</definedName>
    <definedName name="_xlnm.Print_Area" localSheetId="6">'3a.Matríz de Partes Interesadas'!$A$1:$I$24</definedName>
    <definedName name="_xlnm.Print_Area" localSheetId="8">'4b. Matriz - Contexto'!$B$1:$W$51</definedName>
    <definedName name="_xlnm.Print_Area" localSheetId="0">INDICE!$A$1:$L$21</definedName>
    <definedName name="_xlnm.Print_Area" localSheetId="1">INTRO!$A$1:$O$22</definedName>
    <definedName name="arriba3d">#REF!</definedName>
    <definedName name="ARRIBA4A">#REF!</definedName>
    <definedName name="ARRIBADOSA">#REF!</definedName>
    <definedName name="ARRIBADOSABE">#REF!</definedName>
    <definedName name="ARRIBADUOSAAA">'[2]1a. Misión, Visión'!#REF!</definedName>
    <definedName name="ARRIBAFACTCLAU">#REF!</definedName>
    <definedName name="ARRIBAIMPRIMIR">#REF!</definedName>
    <definedName name="BUSCARMES">#REF!</definedName>
    <definedName name="DEBILIDAD">#REF!</definedName>
    <definedName name="ESTRATEGIA">#REF!</definedName>
    <definedName name="EXTERNAS">#REF!</definedName>
    <definedName name="FLUJODECAJA">#REF!</definedName>
    <definedName name="FORTALEZAS">#REF!</definedName>
    <definedName name="GRAFIK2a6">#REF!</definedName>
    <definedName name="INDICE">[2]INDICE!#REF!</definedName>
    <definedName name="INFO2a6">#REF!</definedName>
    <definedName name="INFO2E">#REF!</definedName>
    <definedName name="INFO2F">#REF!</definedName>
    <definedName name="INFO2G">#REF!</definedName>
    <definedName name="INFO3A">#REF!</definedName>
    <definedName name="INFO3B">#REF!</definedName>
    <definedName name="info3ce">#REF!</definedName>
    <definedName name="INFO4A">#REF!</definedName>
    <definedName name="INFOADL">#REF!</definedName>
    <definedName name="infoBCG">#REF!</definedName>
    <definedName name="INFODOSA">#REF!</definedName>
    <definedName name="INFODOSABE">#REF!</definedName>
    <definedName name="INFODOSBE">#REF!</definedName>
    <definedName name="INFODUOSAAA">'[2]1a. Misión, Visión'!#REF!</definedName>
    <definedName name="INFOINDICE">[2]INDICE!#REF!</definedName>
    <definedName name="INFOPLAN">[2]INDICE!#REF!</definedName>
    <definedName name="INFOSTRATEGICPLAN">[2]INDICE!#REF!</definedName>
    <definedName name="INFOUNOBE">#REF!</definedName>
    <definedName name="INFOUNOCE">#REF!</definedName>
    <definedName name="INTENSIDAD">[1]CÁLCULOS!$B$22:$B$26</definedName>
    <definedName name="INVERSION">#REF!</definedName>
    <definedName name="Menor" localSheetId="10">"Severidad"</definedName>
    <definedName name="Naturaleza" localSheetId="7">[3]Ponderación!$A$2:$B$8</definedName>
    <definedName name="Naturaleza">Ponderación!$A$2:$B$11</definedName>
    <definedName name="nomeses">#REF!</definedName>
    <definedName name="NUMES">#REF!</definedName>
    <definedName name="PESTPEST">'[1]3a'!#REF!</definedName>
    <definedName name="PLANNINGSALES">[2]INDICE!#REF!</definedName>
    <definedName name="PONERDATOS">#REF!</definedName>
    <definedName name="Probabilidad" localSheetId="7">[3]Ponderación!$D$2:$E$4</definedName>
    <definedName name="Probabilidad">Ponderación!$D$2:$E$4</definedName>
    <definedName name="PUBLICIDAD">[2]INDICE!#REF!</definedName>
    <definedName name="Severidad" localSheetId="7">[3]Ponderación!$G$2:$H$4</definedName>
    <definedName name="Severidad">Ponderación!$G$2:$H$5</definedName>
    <definedName name="_xlnm.Print_Titles" localSheetId="4">'2a. Análisis Foda'!$1:$6</definedName>
    <definedName name="_xlnm.Print_Titles" localSheetId="6">'3a.Matríz de Partes Interesadas'!$1:$10</definedName>
    <definedName name="_xlnm.Print_Titles" localSheetId="7">'4a. Parámetros de riesgo'!$1:$8</definedName>
    <definedName name="_xlnm.Print_Titles" localSheetId="8">'4b. Matriz - Contexto'!$1:$10</definedName>
    <definedName name="trescece">#REF!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3" i="20" l="1"/>
  <c r="C33" i="20" l="1"/>
  <c r="C34" i="20"/>
  <c r="C35" i="20"/>
  <c r="C36" i="20"/>
  <c r="C37" i="20"/>
  <c r="C38" i="20"/>
  <c r="C39" i="20"/>
  <c r="C40" i="20"/>
  <c r="C41" i="20"/>
  <c r="C32" i="20"/>
  <c r="C12" i="20"/>
  <c r="C13" i="20"/>
  <c r="C14" i="20"/>
  <c r="C15" i="20"/>
  <c r="C16" i="20"/>
  <c r="C17" i="20"/>
  <c r="C18" i="20"/>
  <c r="C19" i="20"/>
  <c r="C20" i="20"/>
  <c r="C21" i="20"/>
  <c r="C11" i="20"/>
  <c r="M31" i="59"/>
  <c r="M30" i="59"/>
  <c r="N29" i="59"/>
  <c r="N28" i="59"/>
  <c r="S42" i="20" l="1"/>
  <c r="T42" i="20" s="1"/>
  <c r="U42" i="20" s="1"/>
  <c r="V42" i="20" s="1"/>
  <c r="S43" i="20"/>
  <c r="T43" i="20" s="1"/>
  <c r="U43" i="20" s="1"/>
  <c r="V43" i="20" s="1"/>
  <c r="S44" i="20"/>
  <c r="T44" i="20" s="1"/>
  <c r="U44" i="20" s="1"/>
  <c r="V44" i="20" s="1"/>
  <c r="S45" i="20"/>
  <c r="T45" i="20" s="1"/>
  <c r="U45" i="20" s="1"/>
  <c r="V45" i="20" s="1"/>
  <c r="S46" i="20"/>
  <c r="T46" i="20" s="1"/>
  <c r="U46" i="20" s="1"/>
  <c r="V46" i="20" s="1"/>
  <c r="S47" i="20"/>
  <c r="T47" i="20" s="1"/>
  <c r="U47" i="20" s="1"/>
  <c r="V47" i="20" s="1"/>
  <c r="S48" i="20"/>
  <c r="T48" i="20" s="1"/>
  <c r="U48" i="20" s="1"/>
  <c r="V48" i="20" s="1"/>
  <c r="S49" i="20"/>
  <c r="T49" i="20"/>
  <c r="U49" i="20" s="1"/>
  <c r="V49" i="20" s="1"/>
  <c r="S50" i="20"/>
  <c r="T50" i="20"/>
  <c r="U50" i="20" s="1"/>
  <c r="V50" i="20" s="1"/>
  <c r="S51" i="20"/>
  <c r="T51" i="20"/>
  <c r="U51" i="20" s="1"/>
  <c r="V51" i="20" s="1"/>
  <c r="C44" i="20"/>
  <c r="C45" i="20"/>
  <c r="C46" i="20"/>
  <c r="C47" i="20"/>
  <c r="C48" i="20"/>
  <c r="C49" i="20"/>
  <c r="C50" i="20"/>
  <c r="C51" i="20"/>
  <c r="C42" i="20"/>
  <c r="C30" i="20"/>
  <c r="C31" i="20"/>
  <c r="C27" i="20"/>
  <c r="C28" i="20"/>
  <c r="C29" i="20"/>
  <c r="C23" i="20"/>
  <c r="C24" i="20"/>
  <c r="C25" i="20"/>
  <c r="C26" i="20"/>
  <c r="C22" i="20"/>
  <c r="S46" i="59"/>
  <c r="I46" i="59"/>
  <c r="S45" i="59"/>
  <c r="I45" i="59"/>
  <c r="S44" i="59"/>
  <c r="I44" i="59"/>
  <c r="S43" i="59"/>
  <c r="I43" i="59"/>
  <c r="S42" i="59"/>
  <c r="I42" i="59"/>
  <c r="S41" i="59"/>
  <c r="I41" i="59"/>
  <c r="S40" i="59"/>
  <c r="I40" i="59"/>
  <c r="S39" i="59"/>
  <c r="I39" i="59"/>
  <c r="S38" i="59"/>
  <c r="I38" i="59"/>
  <c r="S37" i="59"/>
  <c r="I37" i="59"/>
  <c r="S36" i="59"/>
  <c r="I36" i="59"/>
  <c r="S35" i="59"/>
  <c r="I35" i="59"/>
  <c r="I21" i="59"/>
  <c r="I20" i="59"/>
  <c r="S19" i="59"/>
  <c r="I19" i="59"/>
  <c r="S18" i="59"/>
  <c r="I18" i="59"/>
  <c r="S17" i="59"/>
  <c r="I17" i="59"/>
  <c r="S16" i="59"/>
  <c r="I16" i="59"/>
  <c r="S15" i="59"/>
  <c r="I15" i="59"/>
  <c r="S14" i="59"/>
  <c r="I14" i="59"/>
  <c r="S13" i="59"/>
  <c r="I13" i="59"/>
  <c r="S12" i="59"/>
  <c r="I12" i="59"/>
  <c r="S11" i="59"/>
  <c r="I11" i="59"/>
  <c r="S10" i="59"/>
  <c r="I10" i="59"/>
  <c r="I47" i="59" l="1"/>
  <c r="J47" i="59" s="1"/>
  <c r="S47" i="59"/>
  <c r="T47" i="59" s="1"/>
  <c r="S24" i="59"/>
  <c r="T24" i="59" s="1"/>
  <c r="I24" i="59"/>
  <c r="J24" i="59" s="1"/>
  <c r="M54" i="59" l="1"/>
  <c r="W47" i="59" s="1"/>
  <c r="M53" i="59"/>
  <c r="U47" i="59" s="1"/>
  <c r="S37" i="20"/>
  <c r="T37" i="20" s="1"/>
  <c r="U37" i="20" s="1"/>
  <c r="V37" i="20" s="1"/>
  <c r="S38" i="20"/>
  <c r="T38" i="20" s="1"/>
  <c r="U38" i="20" s="1"/>
  <c r="V38" i="20" s="1"/>
  <c r="S39" i="20"/>
  <c r="T39" i="20" s="1"/>
  <c r="U39" i="20" s="1"/>
  <c r="V39" i="20" s="1"/>
  <c r="S40" i="20"/>
  <c r="T40" i="20" s="1"/>
  <c r="U40" i="20" s="1"/>
  <c r="V40" i="20" s="1"/>
  <c r="S41" i="20"/>
  <c r="T41" i="20" s="1"/>
  <c r="U41" i="20" s="1"/>
  <c r="V41" i="20" s="1"/>
  <c r="U24" i="59" l="1"/>
  <c r="O51" i="59" s="1"/>
  <c r="N51" i="59" s="1"/>
  <c r="AU34" i="60" s="1"/>
  <c r="W24" i="59"/>
  <c r="O52" i="59" s="1"/>
  <c r="N52" i="59" s="1"/>
  <c r="AU35" i="60" s="1"/>
  <c r="BN35" i="60" s="1"/>
  <c r="S11" i="20"/>
  <c r="BR15" i="60" l="1"/>
  <c r="AB13" i="60" s="1"/>
  <c r="AU13" i="60" s="1"/>
  <c r="AC9" i="60"/>
  <c r="AU9" i="60"/>
  <c r="BN34" i="60"/>
  <c r="H19" i="40"/>
  <c r="B19" i="40" l="1"/>
  <c r="H16" i="40" l="1"/>
  <c r="B16" i="40"/>
  <c r="B6" i="40"/>
  <c r="B11" i="40"/>
  <c r="H6" i="40"/>
  <c r="H11" i="40"/>
  <c r="S18" i="20" l="1"/>
  <c r="T18" i="20" s="1"/>
  <c r="U18" i="20" s="1"/>
  <c r="V18" i="20" s="1"/>
  <c r="T11" i="20" l="1"/>
  <c r="U11" i="20" s="1"/>
  <c r="V11" i="20" s="1"/>
  <c r="S36" i="20" l="1"/>
  <c r="T36" i="20" s="1"/>
  <c r="U36" i="20" s="1"/>
  <c r="V36" i="20" s="1"/>
  <c r="S35" i="20"/>
  <c r="T35" i="20" s="1"/>
  <c r="U35" i="20" s="1"/>
  <c r="V35" i="20" s="1"/>
  <c r="S34" i="20"/>
  <c r="T34" i="20" s="1"/>
  <c r="U34" i="20" s="1"/>
  <c r="V34" i="20" s="1"/>
  <c r="S33" i="20"/>
  <c r="T33" i="20" s="1"/>
  <c r="U33" i="20" s="1"/>
  <c r="V33" i="20" s="1"/>
  <c r="S32" i="20"/>
  <c r="T32" i="20" s="1"/>
  <c r="U32" i="20" s="1"/>
  <c r="V32" i="20" s="1"/>
  <c r="S31" i="20"/>
  <c r="T31" i="20" s="1"/>
  <c r="U31" i="20" s="1"/>
  <c r="V31" i="20" s="1"/>
  <c r="S30" i="20"/>
  <c r="T30" i="20" s="1"/>
  <c r="U30" i="20" s="1"/>
  <c r="V30" i="20" s="1"/>
  <c r="S29" i="20"/>
  <c r="T29" i="20" s="1"/>
  <c r="U29" i="20" s="1"/>
  <c r="V29" i="20" s="1"/>
  <c r="S28" i="20"/>
  <c r="T28" i="20" s="1"/>
  <c r="U28" i="20" s="1"/>
  <c r="V28" i="20" s="1"/>
  <c r="S27" i="20"/>
  <c r="T27" i="20" s="1"/>
  <c r="U27" i="20" s="1"/>
  <c r="V27" i="20" s="1"/>
  <c r="S26" i="20"/>
  <c r="T26" i="20" s="1"/>
  <c r="U26" i="20" s="1"/>
  <c r="V26" i="20" s="1"/>
  <c r="S25" i="20"/>
  <c r="T25" i="20" s="1"/>
  <c r="U25" i="20" s="1"/>
  <c r="V25" i="20" s="1"/>
  <c r="S24" i="20"/>
  <c r="T24" i="20" s="1"/>
  <c r="U24" i="20" s="1"/>
  <c r="V24" i="20" s="1"/>
  <c r="S23" i="20"/>
  <c r="T23" i="20" s="1"/>
  <c r="U23" i="20" s="1"/>
  <c r="V23" i="20" s="1"/>
  <c r="S22" i="20"/>
  <c r="T22" i="20" s="1"/>
  <c r="U22" i="20" s="1"/>
  <c r="V22" i="20" s="1"/>
  <c r="S21" i="20"/>
  <c r="T21" i="20" s="1"/>
  <c r="U21" i="20" s="1"/>
  <c r="V21" i="20" s="1"/>
  <c r="S20" i="20"/>
  <c r="T20" i="20" s="1"/>
  <c r="U20" i="20" s="1"/>
  <c r="V20" i="20" s="1"/>
  <c r="S19" i="20"/>
  <c r="T19" i="20" s="1"/>
  <c r="U19" i="20" s="1"/>
  <c r="V19" i="20" s="1"/>
  <c r="S17" i="20"/>
  <c r="T17" i="20" s="1"/>
  <c r="U17" i="20" s="1"/>
  <c r="V17" i="20" s="1"/>
  <c r="S16" i="20"/>
  <c r="T16" i="20" s="1"/>
  <c r="U16" i="20" s="1"/>
  <c r="V16" i="20" s="1"/>
  <c r="S15" i="20"/>
  <c r="T15" i="20" s="1"/>
  <c r="U15" i="20" s="1"/>
  <c r="V15" i="20" s="1"/>
  <c r="S14" i="20"/>
  <c r="T14" i="20" s="1"/>
  <c r="U14" i="20" s="1"/>
  <c r="V14" i="20" s="1"/>
  <c r="S13" i="20"/>
  <c r="T13" i="20" s="1"/>
  <c r="U13" i="20" s="1"/>
  <c r="V13" i="20" s="1"/>
  <c r="S12" i="20"/>
  <c r="T12" i="20" s="1"/>
  <c r="U12" i="20" s="1"/>
  <c r="V12"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Enrique Cuevas Medina</author>
  </authors>
  <commentList>
    <comment ref="B8" authorId="0" shapeId="0" xr:uid="{00000000-0006-0000-0200-000001000000}">
      <text>
        <r>
          <rPr>
            <b/>
            <sz val="12"/>
            <color indexed="81"/>
            <rFont val="Tahoma"/>
            <family val="2"/>
          </rPr>
          <t xml:space="preserve">Resume aquí la
</t>
        </r>
        <r>
          <rPr>
            <b/>
            <sz val="12"/>
            <color indexed="81"/>
            <rFont val="Arial"/>
            <family val="2"/>
          </rPr>
          <t xml:space="preserve">
MISIÓN de la Organización
Normalmente son muchos menos de 10 puntos y muchas veces se define en una sola frase.
MISIÓN: es la razón de existir de la Organización. Responde a:
¿Por qué existimos? ¿Cuál es nuestra razón de ser?
Misión es razón de ser, finalidad, tarea esencial, etc.</t>
        </r>
        <r>
          <rPr>
            <b/>
            <sz val="12"/>
            <color indexed="81"/>
            <rFont val="Tahoma"/>
            <family val="2"/>
          </rPr>
          <t xml:space="preserve">
</t>
        </r>
      </text>
    </comment>
    <comment ref="B13" authorId="0" shapeId="0" xr:uid="{00000000-0006-0000-0200-000002000000}">
      <text>
        <r>
          <rPr>
            <b/>
            <sz val="12"/>
            <color indexed="81"/>
            <rFont val="Arial"/>
            <family val="2"/>
          </rPr>
          <t>VISIÓN de la Organización
Normalmente es una sola frase o unos pocos puntos.
VISIÓN
 ¿Qué queremos llegar a ser? ¿Dónde queremos llegar? 
La visión es la meta que nos proponemos alcanzar, la que da sentido a los esfuerzos que deberemos hacer todos. Toda visión debería incluir al menos una meta ambiciosa a largo plazo, pero también una descripción creíble del futuro. La visión ideal debe poder ser compartible y estimulante para el conjunto, debería ser vista como una oportunidad para el progreso individual de cada uno de los colaboradores.</t>
        </r>
        <r>
          <rPr>
            <b/>
            <sz val="12"/>
            <color indexed="81"/>
            <rFont val="Tahoma"/>
            <family val="2"/>
          </rPr>
          <t xml:space="preserve">
</t>
        </r>
      </text>
    </comment>
    <comment ref="B18" authorId="0" shapeId="0" xr:uid="{00000000-0006-0000-0200-000003000000}">
      <text>
        <r>
          <rPr>
            <b/>
            <sz val="12"/>
            <color indexed="81"/>
            <rFont val="Arial"/>
            <family val="2"/>
          </rPr>
          <t>VALORES de la Organización
Suelen poder definirse en menos de 10 puntos.
Los VALORES
El conjunto de criterios que definen los márgenes del camino que nos llevará a alcanzar las metas de la visión.  Si han sido bien definidos y encajan bien en la realidad de la organización, son muy útiles en la toma de decisiones y en la configuración del estilo de dirección, evitan desviaciones y atajos que podrían tener un alto precio para la compañía.</t>
        </r>
        <r>
          <rPr>
            <b/>
            <sz val="12"/>
            <color indexed="81"/>
            <rFont val="Tahoma"/>
            <family val="2"/>
          </rPr>
          <t xml:space="preserve">
</t>
        </r>
      </text>
    </comment>
  </commentList>
</comments>
</file>

<file path=xl/sharedStrings.xml><?xml version="1.0" encoding="utf-8"?>
<sst xmlns="http://schemas.openxmlformats.org/spreadsheetml/2006/main" count="683" uniqueCount="403">
  <si>
    <t>MODERADO</t>
  </si>
  <si>
    <t>ASUMIRLO</t>
  </si>
  <si>
    <t>VIGILARLO</t>
  </si>
  <si>
    <t>MINIMIZARLO</t>
  </si>
  <si>
    <t>Moderado</t>
  </si>
  <si>
    <t>Operativo</t>
  </si>
  <si>
    <t>Industrial</t>
  </si>
  <si>
    <t>Financiera</t>
  </si>
  <si>
    <t>Político</t>
  </si>
  <si>
    <t>Ambiental</t>
  </si>
  <si>
    <t>Legal y Reglamentario</t>
  </si>
  <si>
    <t>Naturaleza</t>
  </si>
  <si>
    <t>Salud</t>
  </si>
  <si>
    <t>Alta</t>
  </si>
  <si>
    <t>Leve</t>
  </si>
  <si>
    <t>Grave</t>
  </si>
  <si>
    <t>Media</t>
  </si>
  <si>
    <t>Baja</t>
  </si>
  <si>
    <t>0 - 199</t>
  </si>
  <si>
    <t>200 - 399</t>
  </si>
  <si>
    <t>400 - 599</t>
  </si>
  <si>
    <t>600 - 799</t>
  </si>
  <si>
    <t>800 - 1000</t>
  </si>
  <si>
    <t>ATENCIÓN INMEDIATA</t>
  </si>
  <si>
    <t>CONTROLARLO</t>
  </si>
  <si>
    <t>TRIVIAL</t>
  </si>
  <si>
    <t>TOLERABLE</t>
  </si>
  <si>
    <t>IMPORTANTE</t>
  </si>
  <si>
    <t>INTOLERABLE</t>
  </si>
  <si>
    <t>Severidad</t>
  </si>
  <si>
    <t>Oportunidad</t>
  </si>
  <si>
    <t>Debilidad</t>
  </si>
  <si>
    <t>Amenaza</t>
  </si>
  <si>
    <t>Fortaleza</t>
  </si>
  <si>
    <t>OPORTUNIDADES</t>
  </si>
  <si>
    <t xml:space="preserve">1. Fortalezas y Debilidades: </t>
  </si>
  <si>
    <t>D</t>
  </si>
  <si>
    <t xml:space="preserve">a) Dar  1 punto por cada X en desacuerdo </t>
  </si>
  <si>
    <t xml:space="preserve">b) Dar 2 puntos por cada X bajo ni acuerdo o en desacuerdo </t>
  </si>
  <si>
    <t xml:space="preserve">c) Dar 3 puntos por cada X bajo acuerdo </t>
  </si>
  <si>
    <t xml:space="preserve">2. Amenazas y Oportunidades </t>
  </si>
  <si>
    <t>A</t>
  </si>
  <si>
    <t xml:space="preserve">a) Dar 1 punto por cada X bajo No </t>
  </si>
  <si>
    <t>b) Dar 2 puntos por cada X bajo puede ser</t>
  </si>
  <si>
    <t>c) Dar 3 puntos por cada X bajo Sí</t>
  </si>
  <si>
    <t>TIPO DE EFECTO</t>
  </si>
  <si>
    <t>NATURALEZA</t>
  </si>
  <si>
    <t>OCURRENCIA</t>
  </si>
  <si>
    <t>SEVERIDAD</t>
  </si>
  <si>
    <t>CLASIFICACIÓN</t>
  </si>
  <si>
    <t>DICTAMEN</t>
  </si>
  <si>
    <t>CLASIFICACIÓN DEL FODA</t>
  </si>
  <si>
    <t>PROCESOS AFECTADOS / BENEFICIADOS</t>
  </si>
  <si>
    <t>DESCRIPCIÓN DEL RIESGO / OPORTUNIDAD GENERAL</t>
  </si>
  <si>
    <t>NIVEL DE RIESGO / OPORTUNIDAD</t>
  </si>
  <si>
    <t>Operativa</t>
  </si>
  <si>
    <t>Política</t>
  </si>
  <si>
    <t>Económico / Financiero</t>
  </si>
  <si>
    <t>0 - 250</t>
  </si>
  <si>
    <t>LIMITADA</t>
  </si>
  <si>
    <t>A CONSIDERAR</t>
  </si>
  <si>
    <t>251 - 500</t>
  </si>
  <si>
    <t>MEDIA</t>
  </si>
  <si>
    <t>ABORDAR</t>
  </si>
  <si>
    <t>501 - 750</t>
  </si>
  <si>
    <t>POTENCIAL</t>
  </si>
  <si>
    <t>APROPIARSE</t>
  </si>
  <si>
    <t>751 - 1000</t>
  </si>
  <si>
    <t>SOBRESALIENTE</t>
  </si>
  <si>
    <t>EXPLOTARLA</t>
  </si>
  <si>
    <t>DEFINICIONES</t>
  </si>
  <si>
    <t>RIESGOS</t>
  </si>
  <si>
    <t>RANGOS</t>
  </si>
  <si>
    <t>ACCIONES</t>
  </si>
  <si>
    <t>Positivo</t>
  </si>
  <si>
    <t>Y</t>
  </si>
  <si>
    <t>Perfil Agresivo</t>
  </si>
  <si>
    <t>Premisa del Perfil</t>
  </si>
  <si>
    <t>Definición</t>
  </si>
  <si>
    <t>X</t>
  </si>
  <si>
    <t>Perfil Defensivo</t>
  </si>
  <si>
    <t>Coordenadas</t>
  </si>
  <si>
    <t>EJE</t>
  </si>
  <si>
    <t>p</t>
  </si>
  <si>
    <t>d</t>
  </si>
  <si>
    <t>o</t>
  </si>
  <si>
    <t>c</t>
  </si>
  <si>
    <t>n</t>
  </si>
  <si>
    <t>b</t>
  </si>
  <si>
    <t>m</t>
  </si>
  <si>
    <t>a</t>
  </si>
  <si>
    <t>l</t>
  </si>
  <si>
    <t>k</t>
  </si>
  <si>
    <t>j</t>
  </si>
  <si>
    <t>i</t>
  </si>
  <si>
    <t>h</t>
  </si>
  <si>
    <t>g</t>
  </si>
  <si>
    <t>f</t>
  </si>
  <si>
    <t>e</t>
  </si>
  <si>
    <t>DESCRIPCIÓN</t>
  </si>
  <si>
    <t>PREMISA DEL PERFIL</t>
  </si>
  <si>
    <t>PERFIL</t>
  </si>
  <si>
    <t>CUADRANTE</t>
  </si>
  <si>
    <t>NI DE ACUERDO NI EN DESACUERDO</t>
  </si>
  <si>
    <t>DE ACUERDO</t>
  </si>
  <si>
    <t>VALOR</t>
  </si>
  <si>
    <t>FORTALEZAS (F)</t>
  </si>
  <si>
    <t>TOTAL</t>
  </si>
  <si>
    <t>DEBILIDADES (D)</t>
  </si>
  <si>
    <t>AMENAZAS (A)</t>
  </si>
  <si>
    <t>COORDENADAS (EJES)</t>
  </si>
  <si>
    <t>OPORTUNIDADES (O)</t>
  </si>
  <si>
    <t>PERFIL:</t>
  </si>
  <si>
    <t>DEFINICIÓN DEL PERFIL</t>
  </si>
  <si>
    <t>RESULTADOS</t>
  </si>
  <si>
    <t>B</t>
  </si>
  <si>
    <t>C</t>
  </si>
  <si>
    <t>Negativo</t>
  </si>
  <si>
    <t>NO</t>
  </si>
  <si>
    <t xml:space="preserve"> </t>
  </si>
  <si>
    <t>Objetivos, metas y estrategias</t>
  </si>
  <si>
    <t>Definición: Qué objetivos, cómo y cuando  los alcanzaremos. Que estrategias aplicaremos.</t>
  </si>
  <si>
    <t>Conclusiones y objetivos</t>
  </si>
  <si>
    <t>CONCLUSIONES, OBJETIVOS Y ESTRATEGIA ←</t>
  </si>
  <si>
    <t>Modelo de negocio</t>
  </si>
  <si>
    <t>Posición competitiva</t>
  </si>
  <si>
    <t>Situación interna y externa</t>
  </si>
  <si>
    <t>Análisis: Dónde estamos y cual es el entorno.                       Situación y factores internos y externos. Posición competitiva  Qué opciones estratégicas tenemos.</t>
  </si>
  <si>
    <t>Entorno y coyuntura</t>
  </si>
  <si>
    <t>ANÁLISIS ESTRATÉGICO   ←</t>
  </si>
  <si>
    <t>Elementos conceptuales: Quiénes somos, donde queremos llegar.</t>
  </si>
  <si>
    <t>Misión, Visión, Valores</t>
  </si>
  <si>
    <t>CONCEPTOS  - FILOSOFÍA    ←</t>
  </si>
  <si>
    <t>¿QUÉ ENTENDEMOS COMO PLAN ESTRATÉGICO?</t>
  </si>
  <si>
    <t>VISIÓN</t>
  </si>
  <si>
    <t xml:space="preserve">  1a. Misión, Visión y Valores</t>
  </si>
  <si>
    <t>POLÍTICA DE CALIDAD</t>
  </si>
  <si>
    <t xml:space="preserve">  1b. Política de Calidad y Objetivos de Calidad</t>
  </si>
  <si>
    <t>PLAN ESTRATÉGICO</t>
  </si>
  <si>
    <t>SI</t>
  </si>
  <si>
    <t>◄ Indica aquí el nombre de la Junta Local Ejecutiva</t>
  </si>
  <si>
    <t>◄ Indica aquí el período del plan.</t>
  </si>
  <si>
    <t>◄ Primer ejercicio (año) del plan.</t>
  </si>
  <si>
    <t xml:space="preserve">
ESTRUCTURA DE UN "PLAN ESTRATÉGICO"
</t>
  </si>
  <si>
    <t>|</t>
  </si>
  <si>
    <t xml:space="preserve">MISIÓN </t>
  </si>
  <si>
    <t>NI DE ACUERDO 
NI EN DESACUERDO</t>
  </si>
  <si>
    <t>PUEDE SER</t>
  </si>
  <si>
    <t>Perfil Supervivencia</t>
  </si>
  <si>
    <t>Perfil Re Orientación</t>
  </si>
  <si>
    <t>PERFIL A): Institución y Competencia muy estable (zona de confort +).</t>
  </si>
  <si>
    <t>PERFIL B): Alta competencia en una Institución sólida.</t>
  </si>
  <si>
    <t>PERFIL C): Institución y competencia en rápido crecimiento y muy sólidas (óptimo).</t>
  </si>
  <si>
    <t>PERFIL D): Institución creciente y competencia muy estable.</t>
  </si>
  <si>
    <t>PERFIL A): Lento crecimiento de la Institución y competencia</t>
  </si>
  <si>
    <t>PERFIL B): Alta competencia en una Institución poco estable</t>
  </si>
  <si>
    <t>PERFIL C): Institución y competencia estable (zona de confort -)</t>
  </si>
  <si>
    <t>PERFIL D): Institución poco estable y competencia estable</t>
  </si>
  <si>
    <t>PERFIL A): Institución y Competencia inestables.</t>
  </si>
  <si>
    <t>PERFIL B): Baja competencia en una Institución inestable.</t>
  </si>
  <si>
    <t>PERFIL C): Institución y competencia en lento crecimiento.</t>
  </si>
  <si>
    <t>PERFIL D): Institución poco creciente y competencia inestable.</t>
  </si>
  <si>
    <t>PERFIL A): Institución y competencia inestables.</t>
  </si>
  <si>
    <t>PERFIL B): Institución y competencia inestables.</t>
  </si>
  <si>
    <t>PERFIL C): Institución y competencia inestables.</t>
  </si>
  <si>
    <t>PERFIL D): Institución y competencia inestables.</t>
  </si>
  <si>
    <t>Institución financieramente fuerte que ha obtenido ventajas competitivas importantes en una Institución sólida. 
Institución sólida en penetración del mercado y desarrollo del servicio.
Institución que cumple con altos estándares y procesos definidos por conveniencia propia más que por la Institución.
Institución que demuestra comunicación sólida interna y externamente.
Institución de estructura sólida y alta capacidad de reorganizar actividades frente a un riesgo.
Institución con personal competente y comprometido con una estructura sólida en todas sus áreas.
Institución con un ambiente laboral óptimo. 
Institución en cuyos niveles de satisfacción al Cliente interno son óptimos y al Cliente externo son buenos. 
Institución con alto nivel de liderazgo y empoderamiento en las diferentes jerarquías de la misma. 
Institución con soportes internos y/o externos (perteneciente a un Grupo), que beneficia a la línea de productos y/o servicios a todas las partes interesadas.</t>
  </si>
  <si>
    <t xml:space="preserve">Institución financieramente fuerte que ha obtenido ventajas competitivas importantes en una Institución de rápido crecimiento y muy sólida. 
Institución fuerte en penetración del mercado y desarrollo del servicio.
Institución que cumple con altos estándares y procesos definidos por la Institución y conveniencia propia.
Institución que demuestra comunicación sólida interna y externamente.
Institución de estructura sólida y alta capacidad de reorganizar actividades frente a un riesgo.
Institución con personal competente y comprometido con una estructura sólida en todas sus áreas.
Institución con un ambiente laboral óptimo. 
Institución en cuyos niveles de satisfacción al Cliente interno y externo son óptimos. 
Institución con alto nivel de liderazgo y empoderamiento en las diferentes jerarquías de la misma. 
Institución con soportes internos y/o externos (perteneciente a un Grupo), que potencializan la línea de productos y/o servicios a todas las partes interesadas.
</t>
  </si>
  <si>
    <t xml:space="preserve">Institución financieramente estable que ha obtenido ventajas competitivas importantes en una Institución creciente.
Institución estable en penetración del mercado y desarrollo del servicio.
Institución que cumple con buenos estándares y procesos definidos por la Institución y conveniencia propia.
Institución que demuestra comunicación estable interna y externamente.
Institución de estructura estable y buena capacidad de reorganizar actividades frente a un riesgo.
Institución con personal competente y comprometido con una estructura estable en todas sus áreas.
Institución con un ambiente laboral bueno. 
Institución en cuyos niveles de satisfacción al Cliente interno y externo son buenos. 
Institución con buen nivel de liderazgo y empoderamiento en las diferentes jerarquías de la misma. 
Institución con soportes internos y/o externos (perteneciente a un Grupo), que apoyan a la línea de productos y/o servicios a todas las partes interesadas.
</t>
  </si>
  <si>
    <t xml:space="preserve">Institución financieramente lenta que no ha obtenido ventajas competitivas importantes en una Institución de lento crecimiento. 
Institución lenta en penetración del mercado y desarrollo del servicio.
Institución que cumple lentamente con los estándares y procesos definidos por conveniencia propia ya que la Institución no otorga mejores estándares.
Institución que demuestra una comunicación poco estable interna y externamente.
Institución de estructura poco estable y poca capacidad de reorganizar actividades frente a un riesgo.
Institución con personal poco competente y comprometido con una estructura poco estable en todas sus áreas.
Institución con un ambiente laboral variante. 
Institución en cuyos niveles de satisfacción al Cliente interno y externo son variantes.
Institución con poco nivel de liderazgo y empoderamiento en las diferentes jerarquías de la misma. 
Institución con pocos soportes internos y/o externos (perteneciente a un Grupo), que a veces apoya a la línea de productos y/o servicios a todas las partes interesadas.
</t>
  </si>
  <si>
    <t>Institución financieramente fuerte que ha obtenido muchas ventajas competitivas importantes a pesar de ser una Institución poco estable.
Institución sólida en penetración del mercado y desarrollo del servicio.
Institución que cumple con buenos estándares y procesos definidos por conveniencia propia más que por la Institución.
Institución que demuestra muy buena comunicación interna y externamente.
Institución de  estructura muy buena y buena capacidad de reorganizar actividades frente a un riesgo.
Institución con personal competente y comprometido con una estructura buena en todas sus áreas.
Institución con un ambiente laboral bueno. 
Institución en cuyos niveles de satisfacción al Cliente interno son muy buenos y al Cliente externo son buenos. 
Institución con buen nivel de liderazgo y empoderamiento en las diferentes jerarquías de la misma. 
Institución con soportes internos y/o externos (perteneciente a un Grupo), que beneficia en casi todo a la línea de productos y/o servicios a todas las partes interesadas.</t>
  </si>
  <si>
    <t>Institución financieramente estable que ha obtenido ventajas competitivas importantes en una Institución estable. 
Institución estable en penetración del mercado y desarrollo del servicio.
Institución que cumple con estándares y procesos definidos por la Institución y conveniencia propia.
Institución que demuestra comunicación estable interna y externamente.
Institución de  estructura estable y con algo de capacidad para reorganizar actividades frente a un riesgo.
Institución con personal competente y comprometido con una estructura casi estable en todas sus áreas.
Institución con un ambiente laboral promedio. 
Institución en cuyos niveles de satisfacción al Cliente interno y externo son promedio. 
Institución con casi un buen nivel de liderazgo y empoderamiento en las diferentes jerarquías de la misma. 
Institución con soportes internos y/o externos (perteneciente a un Grupo), que apoyan a la línea de productos y/o servicios a todas las partes interesadas.</t>
  </si>
  <si>
    <t>Institución financieramente estable que ha obtenido algunas ventajas competitivas importantes en una Institución poco estable.
Institución poco estable en penetración del mercado y desarrollo del servicio.
Institución que cumple con buenos estándares y procesos definidos por conveniencia propia.
Institución que demuestra comunicación estable interna y externamente.
Institución de  estructura estable y mediana capacidad de reorganizar actividades frente a un riesgo.
Institución con personal medianamente competente y comprometido con una estructura casi estable en todas sus áreas.
Institución con un ambiente laboral bueno. 
Institución en cuyos niveles de satisfacción al Cliente interno y externo son promedio. 
Institución con buen nivel de liderazgo y empoderamiento en las diferentes jerarquías de la misma. 
Institución con soportes internos y/o externos (perteneciente a un Grupo), que apoyan a la línea de productos y/o servicios a todas las partes interesadas.</t>
  </si>
  <si>
    <t>Institución financieramente inestable que nunca ha obtenido ventajas competitivas importantes en una Institución inestable. 
Institución inestable en penetración del mercado y desarrollo del servicio.
Institución que nunca cumple con los estándares y procesos definidos por conveniencia propia y la Institución no otorga nada.
Institución que no demuestra una comunicación interna y externamente.
Institución de estructura inestable y nula capacidad de reorganizar actividades frente a un riesgo.
Institución con personal no competente ni comprometido, con una estructura mala en todas sus áreas.
Institución con un ambiente laboral muy malo. 
Institución en cuyos niveles de satisfacción al Cliente interno y externo son malos. 
Institución con mal nivel de liderazgo y empoderamiento en las diferentes jerarquías de la misma. 
Institución sin soportes internos y/o externos (perteneciente a un Grupo) y esto no apoya a la línea de productos y/o servicios a todas las partes interesadas.</t>
  </si>
  <si>
    <t>Institución financieramente débil que nunca ha obtenido ventajas competitivas importantes en una Institución inestable. 
Institución débil en penetración del mercado y desarrollo del servicio.
Institución que no cumple con estándares y procesos definidos por conveniencia propia.
Institución que no demuestra comunicación clara interna y externamente.
Institución de estructura variable y casi nula capacidad de reorganizar actividades frente a un riesgo.
Institución con personal no competente y con nulo compromiso, con una estructura inestable en todas sus áreas.
Institución con un ambiente laboral malo.
Institución en cuyos niveles de satisfacción al Cliente interno son malos y al Cliente externo son pésimos. 
Institución sin nivel de liderazgo y empoderamiento en las diferentes jerarquías de la misma. 
Institución sin soportes internos y/o externos (perteneciente a un Grupo) a la línea de productos y/o servicios a todas las partes interesadas.</t>
  </si>
  <si>
    <t>Institución financieramente lenta que pocas veces ha obtenido ventajas competitivas importantes en una Institución lenta. 
Institución lenta en penetración del mercado y desarrollo del servicio.
Institución que lentamente cumple con estándares y procesos definidos por la Institución y conveniencia propia.
Institución que demuestra comunicación lenta interna y externamente.
Institución de estructura lenta y lenta capacidad de reorganizar actividades frente a un riesgo.
Institución con personal competente y comprometido pero lento con una estructura básica en todas sus áreas.
Institución con un ambiente laboral variable. 
Institución en cuyos niveles de satisfacción al Cliente interno y externo son variables.
Institución con poco nivel de liderazgo y casi nulo empoderamiento en las diferentes jerarquías de la misma. 
Institución con pocos soportes internos y/o externos (perteneciente a un Grupo), que casi nunca aportan a la línea de productos y/o servicios de todas las partes interesadas.</t>
  </si>
  <si>
    <t>Institución financieramente inestable que nunca ha obtenido ventajas competitivas importantes en una Institución poco creciente.
Institución inestable en penetración del mercado y desarrollo del servicio.
Institución que cumple raras veces con estándares y procesos definidos por la Institución y conveniencia propia.
Institución que pocas veces demuestra una comunicación estable interna y externamente.
Institución de estructura inestable y mínimamente muestra capacidad de reorganizar actividades frente a un riesgo.
Institución con personal casi nunca competente y sin compromiso, con una estructura inestable en todas sus áreas.
Institución con un ambiente laboral inestable. 
Institución en cuyos niveles de satisfacción al Cliente interno y externo son casi siempre malos. 
Institución con casi nulo nivel de liderazgo y nulo empoderamiento en las diferentes jerarquías de la misma. 
Institución con mínimos soportes internos y/o externos (perteneciente a un Grupo), que no siempre apoyan a la línea de productos y/o servicios a todas las partes interesadas.</t>
  </si>
  <si>
    <t>Institución financieramente desastrosa en una Institución desastrosa.
Institución sin penetración del mercado y nunca ha desarrollado su servicio.
Institución que no conoce ni es de su interés implementar estándares y procesos.
Institución que nunca demuestra comunicación interna y externamente.
Institución sin estructura y sin interés para para reorganizar actividades frente a un riesgo.
Institución con personal incompetente y nulo compromiso, sin estructura en todas sus áreas.
Institución que nunca mide el ambiente laboral y no le interesa. 
Institución en cuyos niveles de satisfacción al Cliente interno y externo son pésimos y no le interesa.
Institución con nivel de liderazgo pésimo y nulo empoderamiento en las diferentes jerarquías de la misma. 
Institución sin soportes internos y/o externos (perteneciente a un Grupo), y no saben quiénes son las partes interesadas.</t>
  </si>
  <si>
    <t>PERFILES DE LA INSTITUCIÓN</t>
  </si>
  <si>
    <t xml:space="preserve">Entendemos por "Plan Estratégico" aquel que, partiendo de lo que la Institución es hoy o de lo que se quiere ser (si aún no existe), analiza la situación dónde nos encontramos y define dónde, cómo y cuándo llegaremos.
Por tanto, siempre es un plan a medio/largo plazo que contiene elementos "filosóficos”, elementos analíticos y elementos operativos sostenidos y confirmados por las consiguientes previsiones económico - financieras.
</t>
  </si>
  <si>
    <t>Parámetros de análisis situacional de la Organización:</t>
  </si>
  <si>
    <t>Versión: 0</t>
  </si>
  <si>
    <t>SISTEMA DE GESTIÓN DE LA CALIDAD</t>
  </si>
  <si>
    <r>
      <t>F</t>
    </r>
    <r>
      <rPr>
        <sz val="10"/>
        <color theme="1"/>
        <rFont val="Arial"/>
        <family val="2"/>
      </rPr>
      <t>echa de emisión</t>
    </r>
    <r>
      <rPr>
        <sz val="10"/>
        <color rgb="FF000000"/>
        <rFont val="Arial"/>
        <family val="2"/>
      </rPr>
      <t>:</t>
    </r>
  </si>
  <si>
    <r>
      <t>F</t>
    </r>
    <r>
      <rPr>
        <sz val="14"/>
        <color theme="1"/>
        <rFont val="Arial"/>
        <family val="2"/>
      </rPr>
      <t>echa de emisión</t>
    </r>
    <r>
      <rPr>
        <sz val="14"/>
        <color rgb="FF000000"/>
        <rFont val="Arial"/>
        <family val="2"/>
      </rPr>
      <t>:</t>
    </r>
  </si>
  <si>
    <t xml:space="preserve">Organizar procesos electorales libres equitativos y confiables, para garantizar el ejercicio de los derechos políticos-electorales de la ciudadanía y contribuir al desarrollo de la vida democrática de México.
</t>
  </si>
  <si>
    <t xml:space="preserve">Ser el organismo electoral nacional autónomo que contribuya a la consolidación de la cultura y convivencia democrática en México, distinguiéndose por ser una institución, moderna, trasparente y eficiente en la que la sociedad confíe plenamente para la organización de lecciones equitativas e imparciales.
</t>
  </si>
  <si>
    <t>VALORES ORGANIZACIONALES</t>
  </si>
  <si>
    <t xml:space="preserve">PRINCIPIOS RECTORES
</t>
  </si>
  <si>
    <t>OBJETIVOS DE LA CALIDAD</t>
  </si>
  <si>
    <r>
      <t>F</t>
    </r>
    <r>
      <rPr>
        <sz val="20"/>
        <color theme="1"/>
        <rFont val="Arial"/>
        <family val="2"/>
      </rPr>
      <t>echa de emisión</t>
    </r>
    <r>
      <rPr>
        <sz val="20"/>
        <color rgb="FF000000"/>
        <rFont val="Arial"/>
        <family val="2"/>
      </rPr>
      <t>:</t>
    </r>
  </si>
  <si>
    <r>
      <t>F</t>
    </r>
    <r>
      <rPr>
        <sz val="26"/>
        <color theme="1"/>
        <rFont val="Arial"/>
        <family val="2"/>
      </rPr>
      <t>echa de emisión</t>
    </r>
    <r>
      <rPr>
        <sz val="26"/>
        <color rgb="FF000000"/>
        <rFont val="Arial"/>
        <family val="2"/>
      </rPr>
      <t>:</t>
    </r>
  </si>
  <si>
    <t>RESPONSABLE</t>
  </si>
  <si>
    <t>ROL</t>
  </si>
  <si>
    <t>NOMBRE</t>
  </si>
  <si>
    <t>FIRMA</t>
  </si>
  <si>
    <t>Elaboración:</t>
  </si>
  <si>
    <t>Revisión:</t>
  </si>
  <si>
    <t>Aprobación:</t>
  </si>
  <si>
    <t>FEPADE</t>
  </si>
  <si>
    <t>Medios de comunicación</t>
  </si>
  <si>
    <t>CECyRD</t>
  </si>
  <si>
    <t xml:space="preserve">  2a.  Análisis FODA</t>
  </si>
  <si>
    <t xml:space="preserve">  2b.  Matriz Posicionamiento Estratégico</t>
  </si>
  <si>
    <t xml:space="preserve">  3a. Matriz Partes Interesadas</t>
  </si>
  <si>
    <t>Fecha de emisión:</t>
  </si>
  <si>
    <t>Entrevista</t>
  </si>
  <si>
    <t>Trámite</t>
  </si>
  <si>
    <t>Transferencia</t>
  </si>
  <si>
    <t>Conciliación</t>
  </si>
  <si>
    <t>Entrega de Credencial</t>
  </si>
  <si>
    <t>Capacitación</t>
  </si>
  <si>
    <t>Desempeño de Personal</t>
  </si>
  <si>
    <t>Institucional</t>
  </si>
  <si>
    <t>Ocurrencia</t>
  </si>
  <si>
    <t>Menor</t>
  </si>
  <si>
    <t>Importante</t>
  </si>
  <si>
    <t>Social/Cultural</t>
  </si>
  <si>
    <t>Tecnológicos</t>
  </si>
  <si>
    <t>Alta Dirección</t>
  </si>
  <si>
    <t>Partes Interesadas</t>
  </si>
  <si>
    <t>Necesidades</t>
  </si>
  <si>
    <t>Requisitos pertinentes</t>
  </si>
  <si>
    <t>Seguimiento</t>
  </si>
  <si>
    <t>Revisión</t>
  </si>
  <si>
    <t>Expectativas</t>
  </si>
  <si>
    <t>Requisitos deseables a considerar</t>
  </si>
  <si>
    <t>Tipo</t>
  </si>
  <si>
    <t>Interna</t>
  </si>
  <si>
    <t xml:space="preserve">DEA, DOS y Junta Local Ejecutiva </t>
  </si>
  <si>
    <t>•Contar con los recursos necesarios para realizar el trabajo.
•Motivación Institucional.
•Buen trato de los jefes inmediatos.
•Ambiente incluyente.
•Remuneración justa.
•Estabilidad laboral.</t>
  </si>
  <si>
    <t>Juntas Local y Distritales Ejecutivas</t>
  </si>
  <si>
    <t>• Las funciones, actividades y procedimientos que se establecen para la operación del Módulo de Atención Ciudadana son comprendidas y aplicadas en su totalidad.
• La efectividad de la Capacitación del personal es reflejada en la operación del MAC.
• Los procedimientos de seguimiento y evaluación de la operación arrojen los resultados positivos.
• Correcta aplicación de los Manuales operativos para la operación de MAC.
• Equipo tecnológico, infraestructura, mobiliario y parque vehicular suficientes que se mantengan en buen estado.</t>
  </si>
  <si>
    <t>Dirección de Operación y Seguimiento (DOS).</t>
  </si>
  <si>
    <t>Dirección de Depuración y Verificación en Campo (DDVC)</t>
  </si>
  <si>
    <t>Evaluaciones de competencias</t>
  </si>
  <si>
    <t>Junta Local Ejecutiva/ Cartografía Estatal</t>
  </si>
  <si>
    <t xml:space="preserve">• Formato CIF-05 lleno para verificar las claves geoelectorales. </t>
  </si>
  <si>
    <t>Junta Local Ejecutiva/Depuración al Padrón.</t>
  </si>
  <si>
    <t>Dirección de Atención Ciudadana INETEL y Centro de Atención Ciudadana (DAC)</t>
  </si>
  <si>
    <t xml:space="preserve">• Brindar información a la ciudadanía de la documentación requerida para el trámite de credencial.
• Informar al ciudadano del status de la su trámite de CPV.
• Recibir, canalizar y dar seguimiento a las quejas ciudadanas
• Generar cita para el trámite de CPV.
• Recibir denuncias por robo y/o extravío de credencial.
• Recibir, canalizar y dar seguimiento a quejas y/o denuncias en contra de personal de MAC. </t>
  </si>
  <si>
    <t>Junta Local Ejecutiva/  CECEOC</t>
  </si>
  <si>
    <t>• Brindar la información más oportuna y adecuada para el trámite de credencial.
• Atender un gran porcentaje de citas programadas.
• Brindar a la ciudadanía los requisitos adecuadamente en los medios de comunicación de la DAC para no recibir quejas.
• Dar inmediata respuesta a las quejas presentadas.</t>
  </si>
  <si>
    <t>• La verificación en campo pueda ser localizada fácilmente por el técnico cartográfico y las georreferencias proporcionadas den información veraz de la ubicación de la ciudadanía.
• La actualización cartográfica electoral se mantenga actualizada en el menor tiempo posible.
• El crecimiento demográfico no sea de forma acelerada.</t>
  </si>
  <si>
    <t>• Administrar correctamente los recursos humanos, financieros y materiales para el cumplimiento de las funciones operativas de las vocalías del Registro Federal de Electores.
• Llevar acabo la planeación y programación de los recursos financieros, para garantizar la operación y desarrollo de los programas y proyectos de las vocalías del Registro Federal de Electores.</t>
  </si>
  <si>
    <t>• Documentos normativos-administrativos, con la finalidad de contribuir al cumplimiento de los programas y proyectos</t>
  </si>
  <si>
    <t>Dirección de Ejecutiva Administrativa (DEA)</t>
  </si>
  <si>
    <t>• Que el flujo de la información de inscripción y actualización sea constante y sin interrupciones.
• Validar la información generada en el MAC.
• Que se integre la Solicitud individual de inscripción o actualización del ciudadano.
• Enviar la información para la credencial para votar.</t>
  </si>
  <si>
    <t>• Actualización de las versiones en SIRFE-MAC, permitiendo realizar el levantamiento de tramites en forma correcta.</t>
  </si>
  <si>
    <t>• Base de datos capturadas correctamente.
• Que no existan afectaciones o errores en la base de datos del INE.
• Digitalización de la documentación de la ciudadanía sea correcta.
• Que la operación no sea interrumpido por falta de insumos.
• Todas las validaciones, solicitudes, inscripciones envío y recibo de información son adecuadas.</t>
  </si>
  <si>
    <t>Proveedores</t>
  </si>
  <si>
    <t>Externa</t>
  </si>
  <si>
    <t xml:space="preserve">• Pago oportuno
• Negocio permanente
</t>
  </si>
  <si>
    <t>Jefe de Recursos Materiales./Junta Local Ejecutiva.</t>
  </si>
  <si>
    <t xml:space="preserve">• Política de entregas.
•Créditos.
</t>
  </si>
  <si>
    <t>Ciudadanía</t>
  </si>
  <si>
    <t>•Evaluaciones de proveedores</t>
  </si>
  <si>
    <t>• Credencial para Votar</t>
  </si>
  <si>
    <t>• Que los anuncios del INE sean trasmitidos a la ciudadanía en radio, televisión, redes sociales.</t>
  </si>
  <si>
    <t xml:space="preserve"> • Que la información sea compartida de forma inmediata y directa con los medios de comunicación.</t>
  </si>
  <si>
    <t>• Actas de denuncias .
• Seguimiento y acatamiento de las sanciones impuestas.</t>
  </si>
  <si>
    <t>• No tener casos de denuncias de los Módulos de Atención Ciudadana.
• Funcionarios respetuosos de la ley.</t>
  </si>
  <si>
    <t>•Información oportuna y certera de la información contenida en los instrumentos electorales a cargo del instituto.</t>
  </si>
  <si>
    <t>•Convenios de apoyo y colaboración.</t>
  </si>
  <si>
    <t>Instituciones Privadas</t>
  </si>
  <si>
    <t>• Contar con un instrumento confiable de identificación ciudadana que le permita ser fuente confiable para otorgar servicios a sus clientes</t>
  </si>
  <si>
    <t>Consejo General/ Junta General Ejecutiva</t>
  </si>
  <si>
    <t>• Remuneración Económica.
• Buen clima Laboral
• Información Institucional.
• Capacitación
• Conocimiento de las funciones de los puestos.</t>
  </si>
  <si>
    <t>• Cumplir con las funciones, actividades y procedimientos para la operación del MAC.
• Personal de MAC debidamente capacitado.
• Aplicación correcta de las supervisiones a los MAC.
• Cumplir con los procedimientos para el retiro, resguardo y destrucción de formatos de credencial de los MAC.
• Coordinar la liberación de la plantilla para la operación de los MAC.
• Mantener el parque vehicular en buen estado para garantizar la operación del MAC.
• Mantener el equipo tecnológico necesario y en buen estado para la operación del MAC.</t>
  </si>
  <si>
    <t xml:space="preserve">• Programa de Capacitación.
• Indicadores de desempeño.
• Manuales de Operación actualizados.
• Cedula de supervisión.
• Inventario de infraestructura.
</t>
  </si>
  <si>
    <t>• Inclusión o exclusión de la Ciudadanía al Padrón Electoral.
• Realizar la validación para la presunta usurpación de identidad y datos apócrifos de la ciudadanía.
• Investigar los casos de datos presuntamente irregulares de la ciudadanía.
• Informar a la ciudadanía la suspensión de sus derechos políticos.
• Informar a la ciudadanía la cancelación de su trámite por datos irregulares.
• Informar a la ciudadanía sobre posibles domicilios irregulares.</t>
  </si>
  <si>
    <t>• Base de datos del Padrón Electoral actualizado.
• Análisis registral.</t>
  </si>
  <si>
    <t>• Referenciar correctamente el domicilio de la Ciudadanía.
• Actualizar la cartografía electoral para el uso de los MAC.</t>
  </si>
  <si>
    <t>• Aplicación de los recursos, financieros y materiales para la operación de los MAC ´s.
• Buena Integración de los documentos presupuestales de control de la evaluación.</t>
  </si>
  <si>
    <t>Juntas Local y Distritales Ejecutivas/Mac 's</t>
  </si>
  <si>
    <t>•Que los ciudadanos cuenten con una identificación vigente.
•Prevención de falsificaciones de la CPV.
• Que la Información sea fidedigna de la identificación otorgada por el Instituto de acuerdo con los requisitos establecidos.</t>
  </si>
  <si>
    <t xml:space="preserve">• Que se aplique lo estipulado en la constitución política mexicana y leyes reglamentarias, así como convenios que se establezcan con el Instituto </t>
  </si>
  <si>
    <t>• La información proporcionada por la institución se realice de manera oportuna y verídica conforme a los tramites que se realizan en los MAC 's</t>
  </si>
  <si>
    <t>• Denunciar las conductas presuntamente ilícitas en materia registral.</t>
  </si>
  <si>
    <t>Partidos Políticos</t>
  </si>
  <si>
    <t>• Que la ciudadanía pueda obtener su CPV para ejercer su derecho al voto.</t>
  </si>
  <si>
    <t>Juntas Local y Distritales Ejecutivas/Órganos de Vigilancia</t>
  </si>
  <si>
    <t>• Con los informes de los Órganos de Vigilancia, a través de las sesiones que se desarrollan en dichos órganos.</t>
  </si>
  <si>
    <t xml:space="preserve">En el Instituto Nacional Electoral INE, estamos comprometidos en proporcionar a la ciudadanía un servicio eficiente y de calidad en el trámite de expedición de su credencial para votar, desde la entrevista hasta la entrega de la credencial para votar, para contribuir al derecho a la identidad ciudadana, con base en el marco normativo, reglamentario y en un entorno de mejora continua con apego a los requisitos de la norma ISO 9001:2015.
</t>
  </si>
  <si>
    <t>Oportunidad que genera un beneficio mínimo en los procesos de una o varias áreas de la Institución, el SGC y/o Partes Interesadas de la cual se espera un resultado inmediato.</t>
  </si>
  <si>
    <t>CONCLUSIONES</t>
  </si>
  <si>
    <t>Bienes y Servicios</t>
  </si>
  <si>
    <t>• Padrón Electoral actualizado.
• Identificación de la ciudadanía que pretende realizar robo de identidad.
• Identificación de la ciudadanía con datos usurpados.
• Tener actualizada la reincorporación de la ciudadanía con retiro de sus derechos políticos.
• Base de datos actualizada hasta la fecha.</t>
  </si>
  <si>
    <t xml:space="preserve">• Base de datos del Padrón Electoral                            • Internet para generar las citas programadas                                                        • Sistema Remedy para registrar las atenciones ciudadanas por teléfono y presenciales                                                         • SIIRFE Monitoreo Trámites y Credenciales Robadas y Extraviadas </t>
  </si>
  <si>
    <t>• Obtener un documento oficial que permite la identidad de la ciudadanía.
• Recibir información clara y precisa para el trámite de credencial.
• Obtener orientación de los requisitos que deben cumplir sus documentos para el trámite.
• No tener errores en la impresión de la Credencial para Votar
• Ser atendidos con cordialidad y respeto sin discriminación por parte del personal.</t>
  </si>
  <si>
    <t>• Que se realice el trámite conforme a la normatividad.
• Atención y seguimiento a quejas.
• Entrega de Credencial para votar a la ciudadanía.</t>
  </si>
  <si>
    <t>• Contar con la un Padrón y Lista Nominal de Electores confiable en la que no existan duplicidades y depurado.
• Que el nivel de cobertura permita asegurar el derecho del voto de la ciudadanía.</t>
  </si>
  <si>
    <t>DESACUERDO</t>
  </si>
  <si>
    <t>FODA</t>
  </si>
  <si>
    <t xml:space="preserve">INSTITUTO NACIONAL ELECTORAL </t>
  </si>
  <si>
    <t>Institución financieramente estable que no ha obtenido ventajas competitivas importantes en una Institución estable. 
Institución estable en penetración del mercado y desarrollo del servicio.
Institución que cumple con los estándares y procesos definidos por conveniencia propia y por la Institución.
Institución que demuestra una comunicación estable interna y externamente.
Institución de estructura estable y buena capacidad de reorganizar actividades frente a un riesgo.
Institución con personal competente y comprometido con una estructura buena en todas sus áreas.
Institución con un ambiente laboral bueno. 
Institución en cuyos niveles de satisfacción al Cliente interno y externo son buenos. 
Institución con buen nivel de liderazgo y empoderamiento en las diferentes jerarquías de la misma. 
Institución con soportes internos y/o externos (perteneciente a un Grupo), que apoya a la línea de productos y/o servicios a todas las partes interesadas.</t>
  </si>
  <si>
    <t>2020-2021</t>
  </si>
  <si>
    <t>JUNTA LOCAL EJECUTIVA DE NAYARIT</t>
  </si>
  <si>
    <t>INSTITUTO NACIONAL ELECTORAL JLE NAYARIT</t>
  </si>
  <si>
    <t>JLE NAYARIT</t>
  </si>
  <si>
    <t>Personal de la Delegación INE Nayarit</t>
  </si>
  <si>
    <t>Riesgo mínimo negativo que limita la integridad para otorgar la prestación del producto / servicio determinado por la Delegación INE Nayarit. Puede revertirse de forma rápida o inmediata y genera costos de no calidad mínimos sin daños permanentes.</t>
  </si>
  <si>
    <t>Impacto mínimo positivo que mantiene la integridad para otorgar la prestación del producto / servicio determinado por la Delegación INE Nayarit. Puede implementarse de forma rápida y genera costos de calidad mínimos.</t>
  </si>
  <si>
    <t>Riesgo negativo considerable que afecta la integridad para otorgar la prestación del producto / servicio determinado por la Delegación INE Nayarit. Puede revertirse en un corto tiempo y genera costos de no calidad considerables y con daños mínimos permanentes.</t>
  </si>
  <si>
    <t>Impacto positivo considerable que mejora la integridad para otorgar la prestación del producto / servicio determinado por la Delegación INE Nayarit. Puede implementarse de un corto tiempo y genera costos de calidad considerables.</t>
  </si>
  <si>
    <t>Riesgo negativo que afecta gravemente la integridad para otorgar la prestación del producto / servicio determinado por la Delegación INE Nayarit. Pocas veces puede revertirse en un mediano o largo tiempo y genera costos de no calidad altos y con daños visiblemente permanentes.</t>
  </si>
  <si>
    <t>Impacto positivo garantizado que potencializa la integridad para otorgar la prestación del producto / servicio determinado por la Delegación INE Nayarit. Puede implementarse en un mediano o largo tiempo y genera costos de calidad considerables y posiblemente permanentes.</t>
  </si>
  <si>
    <t>Oportunidad con buena posibilidad de abordarse siempre y cuando se profundice en los beneficios esperados en los procesos de una o varias áreas de la Delegación INE Nayarit, el SGC y/o Partes Interesadas de la cual se espera un resultado a corto plazo.</t>
  </si>
  <si>
    <t>Oportunidad con beneficios claros y específicos en los procesos de una o varias áreas de la Delegación INE Nayarit, el SGC y/o Partes Interesadas, de la cual se espera un resultado a corto y mediano plazo.</t>
  </si>
  <si>
    <t>Oportunidad con beneficios claros, generales y específicos en los procesos de varias o todas las áreas de la Delegación INE Nayarit, el SGC y/o Partes Interesadas de la cual se obtiene un resultado a corto, mediano y/o largo plazo.</t>
  </si>
  <si>
    <t>Los recortes presupuestales afectan la operación de los proyectos del Registro Federal de Electores.</t>
  </si>
  <si>
    <t>x</t>
  </si>
  <si>
    <t xml:space="preserve">La confianza institucional disminuye por declaraciones negativas de actores políticos. </t>
  </si>
  <si>
    <t>Mtro. Ignacio Rodríguez Villaseñor</t>
  </si>
  <si>
    <t>Pérdida de interés de la credencial para votar como documento de identidad ante la potencial existencia de la cédula de identidad.</t>
  </si>
  <si>
    <t>Falta de servicios públicos y vías de comunicación en zonas de difícil acceso que repercuten en la adecuada atención a la ciudadanía.</t>
  </si>
  <si>
    <t xml:space="preserve">Falta de conocimiento del personal de las funciones de otras áreas de la Institución </t>
  </si>
  <si>
    <t>Falta de medidas de control de las Dependencias que emiten documentos de identidad que provocan registros irregulares y/o duplicados.</t>
  </si>
  <si>
    <t>Condiciones de inseguridad en zonas identificadas de alto riesgo para la operación de los Módulos de Atención Ciudadana.</t>
  </si>
  <si>
    <t>El uso de las redes sociales para campañas negativas hacia el Instituto por medio de: fake news, boots y trolls, influye de manera negativa en la percepción Ciudadana sobre el desempeño Institucional.</t>
  </si>
  <si>
    <t>Falta de disponibilidad inmobiliaria que cumpla con los requisitos legales y físicos para arrendamiento de los Módulos de Atención Ciudadana, Junta local Ejecutiva y Junta Distrital Ejecutiva.</t>
  </si>
  <si>
    <t>Fortalecer el  uso de los medios de comunicación para informar a la ciudadanía sobre los requisitos  para el trámite de la Credencia para Votar.</t>
  </si>
  <si>
    <t>Reducir el tiempo de entrega de la Credencial para Votar a la Ciudadanía para satisfacer su necesidad de realizar  algún trámite.</t>
  </si>
  <si>
    <t>Realizar convenios con Instituciones competentes para la capacitación del personal en materia registral  y de Protección Civil,  en Junta Local Ejecutiva, Junta Distrital Ejecutiva y Módulos de Atención Ciudadana.</t>
  </si>
  <si>
    <t>Aprovechar la infraestructura tecnológica para: Implementar citas programadas en Módulos de Atención Ciudadana itinerantes y medir la satisfacción de la ciudadanía por medio de las boletas electrónicas en Módulos de Atención Ciudadana fijos.</t>
  </si>
  <si>
    <t>4a. Parámetros de riesgo</t>
  </si>
  <si>
    <t>4b. Matriz - Contexto</t>
  </si>
  <si>
    <t>Coordinadores de la Calidad</t>
  </si>
  <si>
    <t>Lic. María Concepción Maldonado Soto 
Mtra. Luz Elena Rodríguez López 
C. Raúl Carrillo Manríquez</t>
  </si>
  <si>
    <t>Mtro. Eduardo Manuel Trujillo Trujillo
Mtra. Verónica Sandoval Castañeda
Lic. Pablo García Martínez</t>
  </si>
  <si>
    <t>Denominación  (abreviada):</t>
  </si>
  <si>
    <t>Período de vigencia del plan:</t>
  </si>
  <si>
    <t>Primer ejercicio:</t>
  </si>
  <si>
    <r>
      <t xml:space="preserve">Valor proporcional </t>
    </r>
    <r>
      <rPr>
        <b/>
        <sz val="18"/>
        <rFont val="Arial"/>
        <family val="2"/>
      </rPr>
      <t>D + O</t>
    </r>
  </si>
  <si>
    <r>
      <t xml:space="preserve">Valor proporcional </t>
    </r>
    <r>
      <rPr>
        <b/>
        <sz val="18"/>
        <color theme="0"/>
        <rFont val="Arial"/>
        <family val="2"/>
      </rPr>
      <t>F + A</t>
    </r>
  </si>
  <si>
    <t>Dirección de 
Cartografía (DCE)</t>
  </si>
  <si>
    <t xml:space="preserve">Confianza, Tolerancia, Compromiso, Trasparencia y Rendición de Cuentas.
</t>
  </si>
  <si>
    <t xml:space="preserve">Certeza, Legalidad, Independencia, Imparcialidad, Objetividad y Máxima Publicidad.
</t>
  </si>
  <si>
    <t>Falta de competencias del personal de Módulos de Atención Ciudadana para la atención de situaciones complejas y  no comunes.</t>
  </si>
  <si>
    <t>Fenómenos naturales (sismos, huracanes, etc.) que afectan el cumplimiento en la programación de los módulos de atención ciudadana.</t>
  </si>
  <si>
    <t>Incumplimiento de las empresas prestadoras de servicios para la distribución de credenciales para votar a los Módulos de Atención Ciudadana.</t>
  </si>
  <si>
    <t>Instituciones Públicas (Federales y Estatales)</t>
  </si>
  <si>
    <t xml:space="preserve">Reclutamiento y Selección </t>
  </si>
  <si>
    <t>Soporte Técnico</t>
  </si>
  <si>
    <t>Dotación de recursos para la operación del Módulo de Atención Ciudadana encargado de dar cumplimiento a solicitudes de incorporación al padrón por artículo 141.</t>
  </si>
  <si>
    <t>Aprovechar el reconocimiento de la credencial para votar como medio de identificación confiable, para formalizar alianzas con otras Instituciones.</t>
  </si>
  <si>
    <t>Gestionar con Instituciones que realicen detección de necesidades y evaluación de clima laboral.</t>
  </si>
  <si>
    <t>La colaboración de las autoridades municipales para otorgar el uso de espacios que sirvan para operar Módulos de Atención Ciudadana itinerantes.</t>
  </si>
  <si>
    <t>Fortalecer los vínculos con Instituciones de educación para aumentar las competencias del personal.</t>
  </si>
  <si>
    <t>La posibilidad legal de que Ciudadanos mexicanos residentes en el extranjero puedan emitir su voto para diversos cargos.</t>
  </si>
  <si>
    <t>Certificar los procesos de Módulos de Atención Ciudadana en ISO 9001:2015.</t>
  </si>
  <si>
    <t>Aprovechar las TIC´s para actualizar y depurar el padrón electoral.</t>
  </si>
  <si>
    <t>Se tiene una planeación de Directorio de Módulos.</t>
  </si>
  <si>
    <t>Atención a Ciudadanos con problemas de movilización.</t>
  </si>
  <si>
    <t>Compromiso institucional de la Alta Dirección del Instituto.</t>
  </si>
  <si>
    <t>Personal experimentado en Módulos de Atención Ciudadana.</t>
  </si>
  <si>
    <t>Procedimientos estandarizados en manuales y lineamientos.</t>
  </si>
  <si>
    <t>Conocimiento de la normatividad por parte del personal.</t>
  </si>
  <si>
    <t>Fideicomiso para la infraestructura de Módulos de Atención Ciudadana.</t>
  </si>
  <si>
    <t>Profesionalización de los MSPEN .</t>
  </si>
  <si>
    <t>Actualización constante de equipo tecnológico y sistemas informáticos.</t>
  </si>
  <si>
    <t>Actualización cartográfica permanente.</t>
  </si>
  <si>
    <t>Las medidas de seguridad en el control de los registros y datos personales.</t>
  </si>
  <si>
    <t>Gratuidad de la Credencial para Votar.</t>
  </si>
  <si>
    <t>Metodología deficiente para la capacitación.</t>
  </si>
  <si>
    <t>Falta de oportunidad en la disposición de recursos.</t>
  </si>
  <si>
    <t>Esquema contractual del personal de Módulos de Atención Ciudadana.</t>
  </si>
  <si>
    <t>Incumplimiento de tiempos en la entrega de la Credencia para Votar.</t>
  </si>
  <si>
    <t>Infraestructura insuficiente para la operación de los Módulos de Atención Ciudadana AC (humanos, materiales y financieros).</t>
  </si>
  <si>
    <t>Falta de compatibilidad de normas administrativas con operativas.</t>
  </si>
  <si>
    <t>Desconocimiento de la misión, visión y objetivos Institucionales por parte del personal.</t>
  </si>
  <si>
    <t>Falta de actualizaciones eficientes en el SIIRFE-MAC.</t>
  </si>
  <si>
    <t xml:space="preserve">1. Actualizar el Padrón Electoral en la entidad mediante la captación de solicitudes de credencial requeridas por la ciudadanía en los Módulos de Atención Ciudadana Instalados.
2. Elevar el porcentaje de utilización de la capacidad en los Módulos de Atención Ciudadana de la Entidad.
3. Brindar el servicio en todos los Módulos de Atención Ciudadana autorizados en el estado, conforme al calendario de operación de Módulos de Atención Ciudadana de la campaña de actualización en turno.
4. Promover la inscripción de jóvenes al Padrón Electoral.
5. Mantener el servicio de atención a domicilio, acorde a lo que establece el artículo 141 de la Ley General de Instituciones y Procedimientos Electorales (LGIPE).
6. Conocer la opinión ciudadana sobre el servicio de los Módulos de Atención Ciudadana. 
</t>
  </si>
  <si>
    <r>
      <t>F</t>
    </r>
    <r>
      <rPr>
        <b/>
        <sz val="20"/>
        <color theme="1"/>
        <rFont val="Arial"/>
        <family val="2"/>
      </rPr>
      <t>echa de emisión</t>
    </r>
    <r>
      <rPr>
        <b/>
        <sz val="20"/>
        <color rgb="FF000000"/>
        <rFont val="Arial"/>
        <family val="2"/>
      </rPr>
      <t>:</t>
    </r>
  </si>
  <si>
    <t xml:space="preserve">Riesgo en los integrantes del mercado y su influencia en el entorno. Variables como la evolución demográfica, movilidad social, cambios en el estilo de vida, actitud consumista, nivel educativo, patrones culturales y la religión.
</t>
  </si>
  <si>
    <t>Oportunidad cuyos efectos están relacionados con la prestación del servicio y/o entrega de la credencial para votar durante la operación y a la entrega a la Ciudadanía de forma eficiente. Puede incluir maquinaria, equipo, infraestructura, recurso humano, insumos, servicios de apoyo (agua potable, electricidad, redes, internet, Sistema SIIRFE-MAC, etc.) y partes interesadas.</t>
  </si>
  <si>
    <t>Oportunidad cuyos efectos están relacionados con partes interesadas que generan una ventaja competitiva en el mismo ramo, zona geográfica, Ciudad, Estado y/o País en la prestación del producto / servicio brindado a la Ciudadanía.</t>
  </si>
  <si>
    <t xml:space="preserve">Oportunidad que los integrantes del mercado y su influencia en el entorno sean de beneficio con la evolución demográfica, movilidad social, cambios en el estilo de vida, actitud consumista, nivel educativo, patrones culturales y la religión.
</t>
  </si>
  <si>
    <r>
      <rPr>
        <b/>
        <sz val="16"/>
        <color theme="1"/>
        <rFont val="Arial"/>
        <family val="2"/>
      </rPr>
      <t>Remotamente posible</t>
    </r>
    <r>
      <rPr>
        <sz val="16"/>
        <color theme="1"/>
        <rFont val="Arial"/>
        <family val="2"/>
      </rPr>
      <t>. El daño ocurre muy rara vez.</t>
    </r>
  </si>
  <si>
    <r>
      <rPr>
        <b/>
        <sz val="16"/>
        <color theme="1"/>
        <rFont val="Arial"/>
        <family val="2"/>
      </rPr>
      <t>Bastante posible</t>
    </r>
    <r>
      <rPr>
        <sz val="16"/>
        <color theme="1"/>
        <rFont val="Arial"/>
        <family val="2"/>
      </rPr>
      <t>. El daño ocurre en algunas ocasiones y no es extraño que sucediera.</t>
    </r>
  </si>
  <si>
    <r>
      <rPr>
        <b/>
        <sz val="16"/>
        <color theme="1"/>
        <rFont val="Arial"/>
        <family val="2"/>
      </rPr>
      <t>Completamente posible</t>
    </r>
    <r>
      <rPr>
        <sz val="16"/>
        <color theme="1"/>
        <rFont val="Arial"/>
        <family val="2"/>
      </rPr>
      <t>. El daño ocurre siempre o casi siempre y ya ha ocurrido en ocasiones anteriores.</t>
    </r>
  </si>
  <si>
    <r>
      <rPr>
        <b/>
        <sz val="16"/>
        <rFont val="Arial"/>
        <family val="2"/>
      </rPr>
      <t>Remotamente posible</t>
    </r>
    <r>
      <rPr>
        <sz val="16"/>
        <rFont val="Arial"/>
        <family val="2"/>
      </rPr>
      <t>. La oportunidad ocurre muy rara vez.</t>
    </r>
  </si>
  <si>
    <r>
      <rPr>
        <b/>
        <sz val="16"/>
        <rFont val="Arial"/>
        <family val="2"/>
      </rPr>
      <t>Bastante posible</t>
    </r>
    <r>
      <rPr>
        <sz val="16"/>
        <rFont val="Arial"/>
        <family val="2"/>
      </rPr>
      <t>. La oportunidad ocurre en algunas ocasiones y no es extraño que sucediera.</t>
    </r>
  </si>
  <si>
    <r>
      <rPr>
        <b/>
        <sz val="16"/>
        <rFont val="Arial"/>
        <family val="2"/>
      </rPr>
      <t>Completamente posible</t>
    </r>
    <r>
      <rPr>
        <sz val="16"/>
        <rFont val="Arial"/>
        <family val="2"/>
      </rPr>
      <t>. La oportunidad ocurre casi siempre o siempre y ya ha ocurrido en ocasiones anteriores.</t>
    </r>
  </si>
  <si>
    <t>Riesgo cuyos efectos están relacionados con la nula o mala prestación del servicio y/o entrega de la credencial para votar durante la operación y a la entrega a la Ciudadanía. Puede incluir maquinaria, equipo, infraestructura, recurso humano, insumos, servicios de apoyo (agua potable, electricidad, redes, internet, Sistema SIIRFE-MAC) y partes interesadas.</t>
  </si>
  <si>
    <t>Cualquier riesgo cuyo efecto negativo está relacionado con la salud física, medio ambiente y seguridad laboral de cualquier parte interesada (interna o externa) así como el ambiente laboral de los funcionarios dentro de la Delegación INE Nayarit.</t>
  </si>
  <si>
    <t>Riesgo cuyos efectos están relacionados con los cambios de las normatividades legales y reglamentarias aplicables a la Delegación INE Nayarit en el ámbito federal, local y del ramo que no permitan acceder, mantener o mejorar las relaciones con las partes interesadas y esto afecte a la Delegación INE Nayarit durante la operación y a la entrega de la credencial para votar y/o trámite a la Ciudadanía.</t>
  </si>
  <si>
    <t>Riesgo cuyos efectos están relacionados con la probabilidad de que las fuerzas políticas generen cambios negativos en el entorno de la Delegación INE Nayarit y obstaculicen o minimicen relaciones con partes interesadas.</t>
  </si>
  <si>
    <t>Riesgo cuyos efectos están relacionados con partes interesadas que generan una desventaja frente a la competencia en el mismo ramo, zona geográfica, Ciudad, Estado y/o País en la prestación del producto / servicio brindado a la Ciudadanía.</t>
  </si>
  <si>
    <t xml:space="preserve">Riesgo cuyos efectos están relacionados con cambios en la planeación y ejecución estratégica del INE, DERFE, DOS que provocan limitantes tangibles e intangibles en los resultados de la Delegación INE Nayarit. </t>
  </si>
  <si>
    <t>Riesgo del desarrollo tecnológico y sus aportes en la actividad Institucional. Depende de su estado la cifra en gasto público en investigación, preocupación gubernamental y de industria por la tecnología, grado de obsolescencia, madurez de las tecnologías convencionales, desarrollo de nuevos productos, velocidad de transmisión de la tecnología</t>
  </si>
  <si>
    <t>Riesgo cuyos efectos están relacionados con limitar o detener la sostenibilidad financiera de la Delegación INE Nayarit las cuales pueden ser generadas en conjunto por una o unas de las partes interesadas.</t>
  </si>
  <si>
    <t>Oportunidad cuyo efecto está relacionado con mantener e incrementar los beneficios en la salud física, medio ambiente y seguridad laboral de cualquier parte interesada (interna y externa) así como el ambiente laboral de los funcionarios dentro de la Delegación INE Nayarit.</t>
  </si>
  <si>
    <t>Oportunidad cuyos efectos están relacionados con el aprovechamiento de los cambios en las normatividades legales y reglamentarias aplicables a la Delegación INE Nayarit en el ámbito federal, local y del ramo que permitan  mantener y mejorar las relaciones con las partes interesadas durante la operación y a la entrega de la credencial para votar y/o trámite a la Ciudadanía.</t>
  </si>
  <si>
    <t>Oportunidad cuyos efectos están relacionados con la probabilidad de que las fuerzas políticas generen cambios positivos en el entorno de la Delegación INE Nayarit y apoyen a mejorar las relaciones con las partes interesadas.</t>
  </si>
  <si>
    <t>Oportunidad cuyos efectos están relacionados con cambios en la planeación y ejecución estratégica del INE, DERFE, DOS que provocan beneficios tangibles e intangibles en los resultados de la Delegación INE Nayarit.</t>
  </si>
  <si>
    <t>Oportunidad en el desarrollo tecnológico y sus aportes en la actividad de la Delegación INE Nayarit, madurez de las tecnologías convencionales, desarrollo de nuevos productos, velocidad de transmisión de la tecnología</t>
  </si>
  <si>
    <t>Oportunidad cuyos efectos están relacionados con mantener e incrementar la sostenibilidad financiera de la Delegación INE Nayarit las cuales pueden ser generadas en conjunto por una o unas de las partes interesadas.</t>
  </si>
  <si>
    <t>Control rutinario, no afecta la secuencia e integridad de los procesos de una o varias áreas de la Delegación INE Nayarit, el SGC y/o partes interesadas.</t>
  </si>
  <si>
    <t>Monitorear el riesgo, afecta mínimamente la secuencia y la integridad de los procesos de una o varias áreas de la Delegación INE Nayarit, el SGC y/opartes interesadas.</t>
  </si>
  <si>
    <t>Plan de acción eficaz donde se realice un control permanente ya que existe un riesgo moderado en la secuencia y la integridad de los procesos de una o varias áreas de la Delegación INE Nayarit, al SGC y/o partes interesadas.</t>
  </si>
  <si>
    <t>Acción de contención inmediata, es urgente generar un plan de acción y revisión del proceso (aplicar reingeniería si es necesario) eficaz y eficiente donde se realice un control específico y permanente ya que el riesgo es grave en la secuencia y la integridad de los procesos de varias o todas las áreas de la Delegación INE Nayarit, el SGC y/o partes interesadas.</t>
  </si>
  <si>
    <t>Acción de contención inmediata, es importante generar un plan de acción eficaz y eficiente donde se realice un control específico y permanente ya que el riesgo es alto en la secuencia y la integridad de los procesos de varias áreas de la Delegación INE Nayarit, el SGC y/o partes interesadas.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</si>
</sst>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0.0"/>
    <numFmt numFmtId="165" formatCode="#,##0.0"/>
  </numFmts>
  <fonts count="101" x14ac:knownFonts="1">
    <font>
      <sz val="11"/>
      <color theme="1"/>
      <name val="Calibri"/>
      <family val="2"/>
      <scheme val="minor"/>
    </font>
    <font>
      <b/>
      <sz val="11"/>
      <color theme="0"/>
      <name val="Calibri"/>
      <family val="2"/>
      <scheme val="minor"/>
    </font>
    <font>
      <sz val="11"/>
      <color theme="1"/>
      <name val="Calibri"/>
      <family val="2"/>
      <scheme val="minor"/>
    </font>
    <font>
      <sz val="11"/>
      <color rgb="FF9C6500"/>
      <name val="Calibri"/>
      <family val="2"/>
      <scheme val="minor"/>
    </font>
    <font>
      <sz val="11"/>
      <name val="Tahoma"/>
      <family val="2"/>
    </font>
    <font>
      <sz val="8"/>
      <name val="Arial"/>
      <family val="2"/>
    </font>
    <font>
      <sz val="10"/>
      <name val="Arial"/>
      <family val="2"/>
    </font>
    <font>
      <b/>
      <sz val="14"/>
      <color theme="0"/>
      <name val="Tahoma"/>
      <family val="2"/>
    </font>
    <font>
      <sz val="10"/>
      <color indexed="42"/>
      <name val="Arial"/>
      <family val="2"/>
    </font>
    <font>
      <sz val="12"/>
      <name val="Arial"/>
      <family val="2"/>
    </font>
    <font>
      <u/>
      <sz val="10"/>
      <color indexed="12"/>
      <name val="Arial"/>
      <family val="2"/>
    </font>
    <font>
      <sz val="14"/>
      <name val="Arial"/>
      <family val="2"/>
    </font>
    <font>
      <b/>
      <sz val="12"/>
      <color indexed="81"/>
      <name val="Tahoma"/>
      <family val="2"/>
    </font>
    <font>
      <b/>
      <sz val="12"/>
      <color theme="0"/>
      <name val="Arial"/>
      <family val="2"/>
    </font>
    <font>
      <sz val="11"/>
      <color theme="1"/>
      <name val="Arial"/>
      <family val="2"/>
    </font>
    <font>
      <b/>
      <sz val="22"/>
      <color theme="0"/>
      <name val="Arial"/>
      <family val="2"/>
    </font>
    <font>
      <sz val="11"/>
      <color rgb="FF9C6500"/>
      <name val="Arial"/>
      <family val="2"/>
    </font>
    <font>
      <u/>
      <sz val="11"/>
      <color rgb="FF9C6500"/>
      <name val="Arial"/>
      <family val="2"/>
    </font>
    <font>
      <b/>
      <u/>
      <sz val="11"/>
      <color rgb="FF9C6500"/>
      <name val="Arial"/>
      <family val="2"/>
    </font>
    <font>
      <b/>
      <sz val="14"/>
      <color theme="0"/>
      <name val="Arial"/>
      <family val="2"/>
    </font>
    <font>
      <b/>
      <sz val="8"/>
      <name val="Arial"/>
      <family val="2"/>
    </font>
    <font>
      <b/>
      <sz val="14"/>
      <color indexed="59"/>
      <name val="Arial"/>
      <family val="2"/>
    </font>
    <font>
      <sz val="12"/>
      <color indexed="23"/>
      <name val="Arial"/>
      <family val="2"/>
    </font>
    <font>
      <sz val="12"/>
      <color indexed="63"/>
      <name val="Arial"/>
      <family val="2"/>
    </font>
    <font>
      <sz val="11"/>
      <name val="Arial"/>
      <family val="2"/>
    </font>
    <font>
      <sz val="11"/>
      <color indexed="23"/>
      <name val="Arial"/>
      <family val="2"/>
    </font>
    <font>
      <sz val="11"/>
      <color indexed="63"/>
      <name val="Arial"/>
      <family val="2"/>
    </font>
    <font>
      <b/>
      <sz val="16"/>
      <color theme="0"/>
      <name val="Arial"/>
      <family val="2"/>
    </font>
    <font>
      <b/>
      <sz val="11"/>
      <name val="Arial"/>
      <family val="2"/>
    </font>
    <font>
      <b/>
      <sz val="8"/>
      <color indexed="16"/>
      <name val="Arial"/>
      <family val="2"/>
    </font>
    <font>
      <b/>
      <sz val="20"/>
      <name val="Arial"/>
      <family val="2"/>
    </font>
    <font>
      <b/>
      <sz val="14"/>
      <color theme="9" tint="-0.249977111117893"/>
      <name val="Arial"/>
      <family val="2"/>
    </font>
    <font>
      <b/>
      <sz val="16"/>
      <color indexed="23"/>
      <name val="Arial"/>
      <family val="2"/>
    </font>
    <font>
      <b/>
      <sz val="22"/>
      <color theme="9" tint="-0.249977111117893"/>
      <name val="Arial"/>
      <family val="2"/>
    </font>
    <font>
      <b/>
      <sz val="14"/>
      <color indexed="23"/>
      <name val="Arial"/>
      <family val="2"/>
    </font>
    <font>
      <b/>
      <sz val="14"/>
      <color theme="4" tint="-0.499984740745262"/>
      <name val="Arial"/>
      <family val="2"/>
    </font>
    <font>
      <b/>
      <sz val="14"/>
      <color rgb="FF1D1D1B"/>
      <name val="Arial"/>
      <family val="2"/>
    </font>
    <font>
      <b/>
      <sz val="16"/>
      <color rgb="FF1D1D1B"/>
      <name val="Arial"/>
      <family val="2"/>
    </font>
    <font>
      <b/>
      <sz val="14"/>
      <name val="Arial"/>
      <family val="2"/>
    </font>
    <font>
      <sz val="12"/>
      <color rgb="FF950054"/>
      <name val="Arial"/>
      <family val="2"/>
    </font>
    <font>
      <sz val="14"/>
      <color rgb="FF950054"/>
      <name val="Arial"/>
      <family val="2"/>
    </font>
    <font>
      <b/>
      <sz val="12"/>
      <color rgb="FF950054"/>
      <name val="Arial"/>
      <family val="2"/>
    </font>
    <font>
      <b/>
      <u/>
      <sz val="11"/>
      <color theme="0"/>
      <name val="Arial"/>
      <family val="2"/>
    </font>
    <font>
      <b/>
      <sz val="11"/>
      <color theme="0"/>
      <name val="Arial"/>
      <family val="2"/>
    </font>
    <font>
      <b/>
      <u/>
      <sz val="11"/>
      <color theme="6" tint="-0.499984740745262"/>
      <name val="Arial"/>
      <family val="2"/>
    </font>
    <font>
      <b/>
      <sz val="11"/>
      <color rgb="FF1D1D1B"/>
      <name val="Arial"/>
      <family val="2"/>
    </font>
    <font>
      <b/>
      <sz val="11"/>
      <color indexed="63"/>
      <name val="Arial"/>
      <family val="2"/>
    </font>
    <font>
      <sz val="12"/>
      <color rgb="FFC00000"/>
      <name val="Arial"/>
      <family val="2"/>
    </font>
    <font>
      <b/>
      <sz val="12"/>
      <color indexed="23"/>
      <name val="Arial"/>
      <family val="2"/>
    </font>
    <font>
      <b/>
      <sz val="12"/>
      <color indexed="81"/>
      <name val="Arial"/>
      <family val="2"/>
    </font>
    <font>
      <b/>
      <sz val="18"/>
      <color theme="1"/>
      <name val="Arial"/>
      <family val="2"/>
    </font>
    <font>
      <sz val="11"/>
      <color theme="0"/>
      <name val="Arial"/>
      <family val="2"/>
    </font>
    <font>
      <sz val="14"/>
      <color theme="0"/>
      <name val="Arial"/>
      <family val="2"/>
    </font>
    <font>
      <sz val="18"/>
      <color theme="1"/>
      <name val="Arial"/>
      <family val="2"/>
    </font>
    <font>
      <b/>
      <sz val="10"/>
      <color theme="0"/>
      <name val="Arial"/>
      <family val="2"/>
    </font>
    <font>
      <sz val="10"/>
      <color theme="1"/>
      <name val="Arial"/>
      <family val="2"/>
    </font>
    <font>
      <b/>
      <sz val="10"/>
      <color theme="1"/>
      <name val="Arial"/>
      <family val="2"/>
    </font>
    <font>
      <b/>
      <sz val="10"/>
      <color rgb="FF1D1D1B"/>
      <name val="Arial"/>
      <family val="2"/>
    </font>
    <font>
      <b/>
      <sz val="11"/>
      <color theme="1"/>
      <name val="Arial"/>
      <family val="2"/>
    </font>
    <font>
      <b/>
      <sz val="18"/>
      <color theme="0"/>
      <name val="Arial"/>
      <family val="2"/>
    </font>
    <font>
      <sz val="24"/>
      <name val="Arial"/>
      <family val="2"/>
    </font>
    <font>
      <b/>
      <sz val="12"/>
      <color theme="1"/>
      <name val="Arial"/>
      <family val="2"/>
    </font>
    <font>
      <sz val="8"/>
      <color rgb="FFFF0000"/>
      <name val="Arial"/>
      <family val="2"/>
    </font>
    <font>
      <sz val="11"/>
      <color rgb="FF1D1D1B"/>
      <name val="Arial"/>
      <family val="2"/>
    </font>
    <font>
      <sz val="10"/>
      <color rgb="FF1D1D1B"/>
      <name val="Arial"/>
      <family val="2"/>
    </font>
    <font>
      <sz val="12"/>
      <color theme="1"/>
      <name val="Arial"/>
      <family val="2"/>
    </font>
    <font>
      <b/>
      <sz val="10"/>
      <color rgb="FF000000"/>
      <name val="Arial"/>
      <family val="2"/>
    </font>
    <font>
      <sz val="10"/>
      <color rgb="FF000000"/>
      <name val="Arial"/>
      <family val="2"/>
    </font>
    <font>
      <b/>
      <sz val="14"/>
      <color rgb="FF000000"/>
      <name val="Arial"/>
      <family val="2"/>
    </font>
    <font>
      <sz val="14"/>
      <color theme="1"/>
      <name val="Arial"/>
      <family val="2"/>
    </font>
    <font>
      <sz val="14"/>
      <color rgb="FF000000"/>
      <name val="Arial"/>
      <family val="2"/>
    </font>
    <font>
      <b/>
      <sz val="14"/>
      <color theme="1"/>
      <name val="Arial"/>
      <family val="2"/>
    </font>
    <font>
      <sz val="14"/>
      <color rgb="FF9C6500"/>
      <name val="Arial"/>
      <family val="2"/>
    </font>
    <font>
      <sz val="20"/>
      <color theme="1"/>
      <name val="Arial"/>
      <family val="2"/>
    </font>
    <font>
      <b/>
      <sz val="20"/>
      <color rgb="FF000000"/>
      <name val="Arial"/>
      <family val="2"/>
    </font>
    <font>
      <sz val="20"/>
      <color rgb="FF000000"/>
      <name val="Arial"/>
      <family val="2"/>
    </font>
    <font>
      <b/>
      <sz val="20"/>
      <color theme="1"/>
      <name val="Arial"/>
      <family val="2"/>
    </font>
    <font>
      <sz val="26"/>
      <color theme="1"/>
      <name val="Arial"/>
      <family val="2"/>
    </font>
    <font>
      <b/>
      <sz val="26"/>
      <color rgb="FF000000"/>
      <name val="Arial"/>
      <family val="2"/>
    </font>
    <font>
      <sz val="26"/>
      <name val="Arial"/>
      <family val="2"/>
    </font>
    <font>
      <sz val="26"/>
      <color rgb="FF000000"/>
      <name val="Arial"/>
      <family val="2"/>
    </font>
    <font>
      <b/>
      <sz val="26"/>
      <color theme="1"/>
      <name val="Arial"/>
      <family val="2"/>
    </font>
    <font>
      <sz val="26"/>
      <color rgb="FF1D1D1B"/>
      <name val="Arial"/>
      <family val="2"/>
    </font>
    <font>
      <sz val="11"/>
      <color rgb="FF000000"/>
      <name val="Calibri"/>
      <family val="2"/>
    </font>
    <font>
      <b/>
      <sz val="26"/>
      <name val="Arial"/>
      <family val="2"/>
    </font>
    <font>
      <b/>
      <sz val="18"/>
      <name val="Arial"/>
      <family val="2"/>
    </font>
    <font>
      <b/>
      <u/>
      <sz val="11"/>
      <color theme="1"/>
      <name val="Arial"/>
      <family val="2"/>
    </font>
    <font>
      <b/>
      <u/>
      <sz val="12"/>
      <color theme="1"/>
      <name val="Arial"/>
      <family val="2"/>
    </font>
    <font>
      <b/>
      <sz val="16"/>
      <name val="Arial"/>
      <family val="2"/>
    </font>
    <font>
      <sz val="16"/>
      <color theme="1"/>
      <name val="Arial"/>
      <family val="2"/>
    </font>
    <font>
      <sz val="16"/>
      <color theme="0"/>
      <name val="Arial"/>
      <family val="2"/>
    </font>
    <font>
      <sz val="16"/>
      <name val="Arial"/>
      <family val="2"/>
    </font>
    <font>
      <b/>
      <sz val="16"/>
      <color theme="1"/>
      <name val="Arial"/>
      <family val="2"/>
    </font>
    <font>
      <b/>
      <sz val="16"/>
      <color rgb="FFFF0000"/>
      <name val="Arial"/>
      <family val="2"/>
    </font>
    <font>
      <sz val="18"/>
      <name val="Arial"/>
      <family val="2"/>
    </font>
    <font>
      <sz val="18"/>
      <color rgb="FFFF0000"/>
      <name val="Arial"/>
      <family val="2"/>
    </font>
    <font>
      <sz val="18"/>
      <color theme="0"/>
      <name val="Arial"/>
      <family val="2"/>
    </font>
    <font>
      <b/>
      <sz val="18"/>
      <color rgb="FFFF0000"/>
      <name val="Arial"/>
      <family val="2"/>
    </font>
    <font>
      <b/>
      <sz val="13"/>
      <color theme="0"/>
      <name val="Arial"/>
      <family val="2"/>
    </font>
    <font>
      <b/>
      <sz val="13"/>
      <name val="Arial"/>
      <family val="2"/>
    </font>
    <font>
      <b/>
      <sz val="10"/>
      <color theme="0"/>
      <name val="Arial Narrow"/>
      <family val="2"/>
    </font>
  </fonts>
  <fills count="34">
    <fill>
      <patternFill patternType="none"/>
    </fill>
    <fill>
      <patternFill patternType="gray125"/>
    </fill>
    <fill>
      <patternFill patternType="solid">
        <fgColor rgb="FF00800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33CC33"/>
        <bgColor indexed="64"/>
      </patternFill>
    </fill>
    <fill>
      <patternFill patternType="solid">
        <fgColor rgb="FF006600"/>
        <bgColor indexed="64"/>
      </patternFill>
    </fill>
    <fill>
      <patternFill patternType="solid">
        <fgColor theme="0"/>
        <bgColor indexed="64"/>
      </patternFill>
    </fill>
    <fill>
      <patternFill patternType="solid">
        <fgColor rgb="FFCCFFCC"/>
        <bgColor indexed="64"/>
      </patternFill>
    </fill>
    <fill>
      <patternFill patternType="solid">
        <fgColor rgb="FF99FF66"/>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8"/>
        <bgColor indexed="64"/>
      </patternFill>
    </fill>
    <fill>
      <patternFill patternType="solid">
        <fgColor theme="0" tint="-0.499984740745262"/>
        <bgColor indexed="64"/>
      </patternFill>
    </fill>
    <fill>
      <patternFill patternType="solid">
        <fgColor rgb="FFFFFF66"/>
        <bgColor indexed="64"/>
      </patternFill>
    </fill>
    <fill>
      <patternFill patternType="solid">
        <fgColor rgb="FFFFCCCC"/>
        <bgColor indexed="64"/>
      </patternFill>
    </fill>
    <fill>
      <patternFill patternType="solid">
        <fgColor theme="4" tint="-0.499984740745262"/>
        <bgColor indexed="64"/>
      </patternFill>
    </fill>
    <fill>
      <patternFill patternType="solid">
        <fgColor rgb="FF000066"/>
        <bgColor indexed="64"/>
      </patternFill>
    </fill>
    <fill>
      <patternFill patternType="solid">
        <fgColor rgb="FF0000CC"/>
        <bgColor indexed="64"/>
      </patternFill>
    </fill>
    <fill>
      <patternFill patternType="solid">
        <fgColor rgb="FFD9F1FF"/>
        <bgColor indexed="64"/>
      </patternFill>
    </fill>
    <fill>
      <patternFill patternType="solid">
        <fgColor rgb="FFDDFFDD"/>
        <bgColor indexed="64"/>
      </patternFill>
    </fill>
    <fill>
      <patternFill patternType="solid">
        <fgColor rgb="FFFFCDFF"/>
        <bgColor indexed="64"/>
      </patternFill>
    </fill>
    <fill>
      <patternFill patternType="solid">
        <fgColor rgb="FFED9FFF"/>
        <bgColor indexed="64"/>
      </patternFill>
    </fill>
    <fill>
      <patternFill patternType="solid">
        <fgColor rgb="FFFFEB9C"/>
      </patternFill>
    </fill>
    <fill>
      <patternFill patternType="solid">
        <fgColor rgb="FFEBF1DE"/>
        <bgColor rgb="FFEBF1DE"/>
      </patternFill>
    </fill>
    <fill>
      <patternFill patternType="solid">
        <fgColor theme="6" tint="-0.499984740745262"/>
        <bgColor theme="6" tint="-0.499984740745262"/>
      </patternFill>
    </fill>
    <fill>
      <patternFill patternType="solid">
        <fgColor rgb="FFD5007F"/>
        <bgColor indexed="64"/>
      </patternFill>
    </fill>
    <fill>
      <patternFill patternType="solid">
        <fgColor rgb="FFD5007F"/>
        <bgColor theme="6" tint="-0.499984740745262"/>
      </patternFill>
    </fill>
    <fill>
      <patternFill patternType="solid">
        <fgColor rgb="FF950054"/>
        <bgColor indexed="64"/>
      </patternFill>
    </fill>
    <fill>
      <patternFill patternType="solid">
        <fgColor theme="0"/>
      </patternFill>
    </fill>
    <fill>
      <patternFill patternType="solid">
        <fgColor rgb="FF0070C0"/>
        <bgColor indexed="64"/>
      </patternFill>
    </fill>
    <fill>
      <patternFill patternType="solid">
        <fgColor rgb="FFFFFFFF"/>
        <bgColor rgb="FFFFFFFF"/>
      </patternFill>
    </fill>
  </fills>
  <borders count="1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right style="thin">
        <color indexed="64"/>
      </right>
      <top/>
      <bottom/>
      <diagonal/>
    </border>
    <border>
      <left/>
      <right/>
      <top/>
      <bottom style="thin">
        <color indexed="64"/>
      </bottom>
      <diagonal/>
    </border>
    <border>
      <left style="double">
        <color auto="1"/>
      </left>
      <right style="hair">
        <color auto="1"/>
      </right>
      <top style="double">
        <color auto="1"/>
      </top>
      <bottom style="hair">
        <color auto="1"/>
      </bottom>
      <diagonal/>
    </border>
    <border>
      <left style="hair">
        <color auto="1"/>
      </left>
      <right style="hair">
        <color auto="1"/>
      </right>
      <top style="double">
        <color auto="1"/>
      </top>
      <bottom style="hair">
        <color auto="1"/>
      </bottom>
      <diagonal/>
    </border>
    <border>
      <left style="hair">
        <color auto="1"/>
      </left>
      <right style="double">
        <color auto="1"/>
      </right>
      <top style="double">
        <color auto="1"/>
      </top>
      <bottom style="hair">
        <color auto="1"/>
      </bottom>
      <diagonal/>
    </border>
    <border>
      <left style="double">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indexed="64"/>
      </left>
      <right style="double">
        <color indexed="64"/>
      </right>
      <top style="double">
        <color indexed="64"/>
      </top>
      <bottom style="double">
        <color indexed="64"/>
      </bottom>
      <diagonal/>
    </border>
    <border>
      <left style="double">
        <color auto="1"/>
      </left>
      <right style="hair">
        <color auto="1"/>
      </right>
      <top/>
      <bottom style="hair">
        <color auto="1"/>
      </bottom>
      <diagonal/>
    </border>
    <border>
      <left style="hair">
        <color auto="1"/>
      </left>
      <right style="double">
        <color auto="1"/>
      </right>
      <top/>
      <bottom style="hair">
        <color auto="1"/>
      </bottom>
      <diagonal/>
    </border>
    <border>
      <left style="double">
        <color theme="0" tint="-0.34998626667073579"/>
      </left>
      <right/>
      <top style="double">
        <color theme="0" tint="-0.34998626667073579"/>
      </top>
      <bottom style="hair">
        <color theme="0" tint="-0.34998626667073579"/>
      </bottom>
      <diagonal/>
    </border>
    <border>
      <left style="double">
        <color theme="0" tint="-0.34998626667073579"/>
      </left>
      <right/>
      <top style="hair">
        <color theme="0" tint="-0.34998626667073579"/>
      </top>
      <bottom style="hair">
        <color theme="0" tint="-0.34998626667073579"/>
      </bottom>
      <diagonal/>
    </border>
    <border>
      <left style="double">
        <color theme="0" tint="-0.34998626667073579"/>
      </left>
      <right/>
      <top style="hair">
        <color theme="0" tint="-0.34998626667073579"/>
      </top>
      <bottom style="double">
        <color theme="0" tint="-0.34998626667073579"/>
      </bottom>
      <diagonal/>
    </border>
    <border>
      <left/>
      <right style="thick">
        <color indexed="64"/>
      </right>
      <top/>
      <bottom/>
      <diagonal/>
    </border>
    <border>
      <left style="thick">
        <color indexed="64"/>
      </left>
      <right/>
      <top style="thin">
        <color indexed="64"/>
      </top>
      <bottom style="thin">
        <color indexed="64"/>
      </bottom>
      <diagonal/>
    </border>
    <border>
      <left style="thick">
        <color indexed="64"/>
      </left>
      <right/>
      <top/>
      <bottom/>
      <diagonal/>
    </border>
    <border>
      <left style="thick">
        <color indexed="64"/>
      </left>
      <right/>
      <top style="thin">
        <color indexed="64"/>
      </top>
      <bottom/>
      <diagonal/>
    </border>
    <border>
      <left/>
      <right style="thin">
        <color indexed="64"/>
      </right>
      <top/>
      <bottom style="thick">
        <color indexed="64"/>
      </bottom>
      <diagonal/>
    </border>
    <border>
      <left/>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bottom style="thick">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thin">
        <color indexed="64"/>
      </bottom>
      <diagonal/>
    </border>
    <border>
      <left/>
      <right/>
      <top style="hair">
        <color indexed="64"/>
      </top>
      <bottom/>
      <diagonal/>
    </border>
    <border>
      <left/>
      <right/>
      <top/>
      <bottom style="hair">
        <color indexed="64"/>
      </bottom>
      <diagonal/>
    </border>
    <border>
      <left style="hair">
        <color auto="1"/>
      </left>
      <right style="double">
        <color auto="1"/>
      </right>
      <top style="double">
        <color auto="1"/>
      </top>
      <bottom style="double">
        <color indexed="64"/>
      </bottom>
      <diagonal/>
    </border>
    <border>
      <left style="hair">
        <color auto="1"/>
      </left>
      <right style="hair">
        <color auto="1"/>
      </right>
      <top style="double">
        <color auto="1"/>
      </top>
      <bottom style="double">
        <color indexed="64"/>
      </bottom>
      <diagonal/>
    </border>
    <border>
      <left style="double">
        <color auto="1"/>
      </left>
      <right style="hair">
        <color auto="1"/>
      </right>
      <top style="double">
        <color auto="1"/>
      </top>
      <bottom style="double">
        <color indexed="64"/>
      </bottom>
      <diagonal/>
    </border>
    <border>
      <left style="hair">
        <color indexed="64"/>
      </left>
      <right/>
      <top/>
      <bottom/>
      <diagonal/>
    </border>
    <border>
      <left/>
      <right style="hair">
        <color indexed="64"/>
      </right>
      <top/>
      <bottom/>
      <diagonal/>
    </border>
    <border>
      <left style="hair">
        <color indexed="64"/>
      </left>
      <right/>
      <top style="hair">
        <color auto="1"/>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diagonal/>
    </border>
    <border>
      <left style="thin">
        <color theme="6" tint="-0.499984740745262"/>
      </left>
      <right style="thin">
        <color theme="6" tint="-0.499984740745262"/>
      </right>
      <top style="thick">
        <color theme="6" tint="-0.499984740745262"/>
      </top>
      <bottom style="thick">
        <color theme="6" tint="-0.499984740745262"/>
      </bottom>
      <diagonal/>
    </border>
    <border>
      <left/>
      <right/>
      <top/>
      <bottom style="thin">
        <color theme="5" tint="-0.499984740745262"/>
      </bottom>
      <diagonal/>
    </border>
    <border>
      <left/>
      <right/>
      <top style="thin">
        <color theme="5" tint="-0.499984740745262"/>
      </top>
      <bottom style="thin">
        <color theme="5" tint="-0.499984740745262"/>
      </bottom>
      <diagonal/>
    </border>
    <border>
      <left/>
      <right/>
      <top/>
      <bottom style="thin">
        <color theme="0" tint="-0.14996795556505021"/>
      </bottom>
      <diagonal/>
    </border>
    <border>
      <left style="medium">
        <color rgb="FF950054"/>
      </left>
      <right/>
      <top style="medium">
        <color rgb="FF950054"/>
      </top>
      <bottom/>
      <diagonal/>
    </border>
    <border>
      <left/>
      <right/>
      <top style="medium">
        <color rgb="FF950054"/>
      </top>
      <bottom/>
      <diagonal/>
    </border>
    <border>
      <left/>
      <right style="medium">
        <color rgb="FF950054"/>
      </right>
      <top style="medium">
        <color rgb="FF950054"/>
      </top>
      <bottom/>
      <diagonal/>
    </border>
    <border>
      <left style="medium">
        <color rgb="FF950054"/>
      </left>
      <right/>
      <top/>
      <bottom/>
      <diagonal/>
    </border>
    <border>
      <left/>
      <right style="medium">
        <color rgb="FF950054"/>
      </right>
      <top/>
      <bottom/>
      <diagonal/>
    </border>
    <border>
      <left style="medium">
        <color rgb="FF950054"/>
      </left>
      <right/>
      <top/>
      <bottom style="medium">
        <color rgb="FF950054"/>
      </bottom>
      <diagonal/>
    </border>
    <border>
      <left/>
      <right/>
      <top/>
      <bottom style="medium">
        <color rgb="FF950054"/>
      </bottom>
      <diagonal/>
    </border>
    <border>
      <left/>
      <right style="medium">
        <color rgb="FF950054"/>
      </right>
      <top/>
      <bottom style="medium">
        <color rgb="FF950054"/>
      </bottom>
      <diagonal/>
    </border>
    <border>
      <left style="hair">
        <color auto="1"/>
      </left>
      <right style="hair">
        <color auto="1"/>
      </right>
      <top style="hair">
        <color auto="1"/>
      </top>
      <bottom style="hair">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auto="1"/>
      </left>
      <right/>
      <top style="double">
        <color auto="1"/>
      </top>
      <bottom style="hair">
        <color auto="1"/>
      </bottom>
      <diagonal/>
    </border>
    <border>
      <left/>
      <right/>
      <top style="double">
        <color auto="1"/>
      </top>
      <bottom style="hair">
        <color auto="1"/>
      </bottom>
      <diagonal/>
    </border>
    <border>
      <left/>
      <right style="hair">
        <color auto="1"/>
      </right>
      <top style="double">
        <color auto="1"/>
      </top>
      <bottom style="hair">
        <color auto="1"/>
      </bottom>
      <diagonal/>
    </border>
    <border>
      <left style="double">
        <color auto="1"/>
      </left>
      <right style="hair">
        <color auto="1"/>
      </right>
      <top style="hair">
        <color auto="1"/>
      </top>
      <bottom/>
      <diagonal/>
    </border>
    <border>
      <left/>
      <right style="double">
        <color auto="1"/>
      </right>
      <top style="hair">
        <color indexed="64"/>
      </top>
      <bottom style="hair">
        <color auto="1"/>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indexed="64"/>
      </left>
      <right/>
      <top/>
      <bottom/>
      <diagonal/>
    </border>
    <border>
      <left/>
      <right style="medium">
        <color indexed="64"/>
      </right>
      <top/>
      <bottom/>
      <diagonal/>
    </border>
    <border>
      <left style="double">
        <color indexed="64"/>
      </left>
      <right style="double">
        <color indexed="64"/>
      </right>
      <top/>
      <bottom style="double">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style="thin">
        <color theme="2" tint="-0.24994659260841701"/>
      </left>
      <right/>
      <top style="thin">
        <color theme="2" tint="-0.24994659260841701"/>
      </top>
      <bottom/>
      <diagonal/>
    </border>
    <border>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top/>
      <bottom/>
      <diagonal/>
    </border>
    <border>
      <left/>
      <right style="thin">
        <color theme="2" tint="-0.24994659260841701"/>
      </right>
      <top/>
      <bottom/>
      <diagonal/>
    </border>
    <border>
      <left style="thin">
        <color theme="2" tint="-0.24994659260841701"/>
      </left>
      <right/>
      <top/>
      <bottom style="thin">
        <color theme="2" tint="-0.24994659260841701"/>
      </bottom>
      <diagonal/>
    </border>
    <border>
      <left/>
      <right/>
      <top/>
      <bottom style="thin">
        <color theme="2" tint="-0.24994659260841701"/>
      </bottom>
      <diagonal/>
    </border>
    <border>
      <left/>
      <right style="thin">
        <color theme="2" tint="-0.24994659260841701"/>
      </right>
      <top/>
      <bottom style="thin">
        <color theme="2" tint="-0.24994659260841701"/>
      </bottom>
      <diagonal/>
    </border>
    <border>
      <left style="hair">
        <color rgb="FFB2B2B2"/>
      </left>
      <right style="hair">
        <color auto="1"/>
      </right>
      <top style="hair">
        <color rgb="FFB2B2B2"/>
      </top>
      <bottom style="hair">
        <color rgb="FFB2B2B2"/>
      </bottom>
      <diagonal/>
    </border>
    <border>
      <left style="hair">
        <color auto="1"/>
      </left>
      <right style="hair">
        <color auto="1"/>
      </right>
      <top style="hair">
        <color rgb="FFB2B2B2"/>
      </top>
      <bottom style="hair">
        <color rgb="FFB2B2B2"/>
      </bottom>
      <diagonal/>
    </border>
    <border>
      <left style="hair">
        <color auto="1"/>
      </left>
      <right style="hair">
        <color rgb="FFB2B2B2"/>
      </right>
      <top style="hair">
        <color rgb="FFB2B2B2"/>
      </top>
      <bottom style="hair">
        <color rgb="FFB2B2B2"/>
      </bottom>
      <diagonal/>
    </border>
    <border>
      <left style="hair">
        <color rgb="FFB2B2B2"/>
      </left>
      <right/>
      <top style="hair">
        <color rgb="FFB2B2B2"/>
      </top>
      <bottom/>
      <diagonal/>
    </border>
    <border>
      <left/>
      <right/>
      <top style="hair">
        <color rgb="FFB2B2B2"/>
      </top>
      <bottom/>
      <diagonal/>
    </border>
    <border>
      <left/>
      <right style="hair">
        <color rgb="FFB2B2B2"/>
      </right>
      <top style="hair">
        <color rgb="FFB2B2B2"/>
      </top>
      <bottom/>
      <diagonal/>
    </border>
    <border>
      <left style="hair">
        <color rgb="FFB2B2B2"/>
      </left>
      <right/>
      <top/>
      <bottom/>
      <diagonal/>
    </border>
    <border>
      <left/>
      <right style="hair">
        <color rgb="FFB2B2B2"/>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style="double">
        <color auto="1"/>
      </left>
      <right/>
      <top style="hair">
        <color auto="1"/>
      </top>
      <bottom style="double">
        <color auto="1"/>
      </bottom>
      <diagonal/>
    </border>
    <border>
      <left style="double">
        <color auto="1"/>
      </left>
      <right/>
      <top style="hair">
        <color auto="1"/>
      </top>
      <bottom style="hair">
        <color auto="1"/>
      </bottom>
      <diagonal/>
    </border>
  </borders>
  <cellStyleXfs count="10">
    <xf numFmtId="0" fontId="0" fillId="0" borderId="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3" fillId="25" borderId="0" applyNumberFormat="0" applyBorder="0" applyAlignment="0" applyProtection="0"/>
    <xf numFmtId="0" fontId="4" fillId="26" borderId="0" applyFont="0" applyBorder="0" applyAlignment="0"/>
    <xf numFmtId="0" fontId="6" fillId="0" borderId="0"/>
    <xf numFmtId="0" fontId="7" fillId="27" borderId="52">
      <alignment horizontal="center" vertical="center"/>
    </xf>
    <xf numFmtId="0" fontId="10" fillId="0" borderId="0" applyNumberFormat="0" applyFill="0" applyBorder="0" applyAlignment="0" applyProtection="0">
      <alignment vertical="top"/>
      <protection locked="0"/>
    </xf>
    <xf numFmtId="0" fontId="83" fillId="0" borderId="0"/>
  </cellStyleXfs>
  <cellXfs count="665">
    <xf numFmtId="0" fontId="0" fillId="0" borderId="0" xfId="0"/>
    <xf numFmtId="0" fontId="1" fillId="2" borderId="1" xfId="0" applyFont="1" applyFill="1" applyBorder="1" applyAlignment="1">
      <alignment horizontal="center" vertical="center" wrapText="1"/>
    </xf>
    <xf numFmtId="0" fontId="0" fillId="0" borderId="0" xfId="0" applyFill="1" applyBorder="1"/>
    <xf numFmtId="0" fontId="1" fillId="2" borderId="2" xfId="0" applyFont="1" applyFill="1" applyBorder="1" applyAlignment="1">
      <alignment horizontal="center" vertical="center" wrapText="1"/>
    </xf>
    <xf numFmtId="1" fontId="0" fillId="0" borderId="0" xfId="0" applyNumberFormat="1"/>
    <xf numFmtId="0" fontId="0" fillId="0" borderId="0" xfId="0" applyFill="1" applyBorder="1" applyAlignment="1"/>
    <xf numFmtId="0" fontId="0" fillId="0" borderId="0" xfId="0" applyFill="1" applyBorder="1" applyAlignment="1">
      <alignment wrapText="1"/>
    </xf>
    <xf numFmtId="0" fontId="5" fillId="0" borderId="0" xfId="5" applyFont="1" applyFill="1" applyBorder="1"/>
    <xf numFmtId="0" fontId="5" fillId="0" borderId="0" xfId="5" applyFont="1" applyFill="1"/>
    <xf numFmtId="0" fontId="8" fillId="0" borderId="0" xfId="5" applyFont="1" applyFill="1" applyBorder="1"/>
    <xf numFmtId="0" fontId="6" fillId="0" borderId="0" xfId="5" applyFont="1" applyFill="1" applyBorder="1"/>
    <xf numFmtId="0" fontId="9" fillId="0" borderId="0" xfId="5" applyFont="1" applyFill="1" applyBorder="1"/>
    <xf numFmtId="0" fontId="9" fillId="0" borderId="0" xfId="5" applyFont="1" applyFill="1"/>
    <xf numFmtId="0" fontId="11" fillId="0" borderId="0" xfId="5" applyFont="1" applyFill="1" applyBorder="1"/>
    <xf numFmtId="0" fontId="11" fillId="0" borderId="0" xfId="5" applyFont="1" applyFill="1"/>
    <xf numFmtId="0" fontId="6" fillId="0" borderId="0" xfId="5" applyFont="1" applyFill="1"/>
    <xf numFmtId="0" fontId="14" fillId="0" borderId="0" xfId="5" applyFont="1" applyFill="1"/>
    <xf numFmtId="0" fontId="5" fillId="0" borderId="0" xfId="5" applyFont="1" applyFill="1" applyBorder="1" applyAlignment="1"/>
    <xf numFmtId="0" fontId="14" fillId="0" borderId="0" xfId="5" applyFont="1" applyFill="1" applyBorder="1"/>
    <xf numFmtId="0" fontId="6" fillId="0" borderId="0" xfId="6" applyFont="1" applyFill="1" applyBorder="1"/>
    <xf numFmtId="0" fontId="6" fillId="0" borderId="0" xfId="6" applyFont="1"/>
    <xf numFmtId="0" fontId="6" fillId="0" borderId="0" xfId="6" applyFont="1" applyFill="1"/>
    <xf numFmtId="0" fontId="5" fillId="0" borderId="0" xfId="6" applyFont="1" applyFill="1" applyBorder="1" applyProtection="1">
      <protection locked="0"/>
    </xf>
    <xf numFmtId="0" fontId="28" fillId="0" borderId="0" xfId="6" applyFont="1" applyFill="1" applyBorder="1" applyAlignment="1" applyProtection="1">
      <alignment horizontal="left"/>
      <protection locked="0"/>
    </xf>
    <xf numFmtId="0" fontId="29" fillId="0" borderId="0" xfId="6" applyFont="1" applyFill="1" applyBorder="1"/>
    <xf numFmtId="0" fontId="20" fillId="0" borderId="0" xfId="6" applyFont="1" applyFill="1" applyBorder="1" applyAlignment="1" applyProtection="1">
      <alignment horizontal="left"/>
      <protection locked="0"/>
    </xf>
    <xf numFmtId="0" fontId="9" fillId="0" borderId="0" xfId="6" applyFont="1" applyFill="1" applyBorder="1"/>
    <xf numFmtId="0" fontId="30" fillId="0" borderId="0" xfId="6" applyFont="1" applyFill="1" applyBorder="1" applyAlignment="1"/>
    <xf numFmtId="0" fontId="31" fillId="0" borderId="0" xfId="6" applyFont="1" applyFill="1" applyBorder="1"/>
    <xf numFmtId="0" fontId="5" fillId="0" borderId="0" xfId="6" applyFont="1" applyFill="1" applyBorder="1" applyAlignment="1" applyProtection="1">
      <alignment horizontal="left"/>
      <protection locked="0"/>
    </xf>
    <xf numFmtId="0" fontId="32" fillId="0" borderId="0" xfId="6" applyFont="1" applyFill="1" applyBorder="1"/>
    <xf numFmtId="0" fontId="33" fillId="0" borderId="0" xfId="6" applyFont="1" applyFill="1" applyBorder="1" applyAlignment="1"/>
    <xf numFmtId="0" fontId="34" fillId="0" borderId="0" xfId="6" applyFont="1" applyFill="1" applyBorder="1" applyAlignment="1"/>
    <xf numFmtId="0" fontId="35" fillId="0" borderId="0" xfId="6" applyFont="1" applyFill="1" applyBorder="1"/>
    <xf numFmtId="0" fontId="8" fillId="8" borderId="0" xfId="5" applyFont="1" applyFill="1" applyBorder="1"/>
    <xf numFmtId="0" fontId="14" fillId="0" borderId="55" xfId="5" applyFont="1" applyFill="1" applyBorder="1"/>
    <xf numFmtId="0" fontId="14" fillId="8" borderId="0" xfId="0" applyFont="1" applyFill="1" applyProtection="1">
      <protection locked="0"/>
    </xf>
    <xf numFmtId="0" fontId="14" fillId="8" borderId="0" xfId="0" applyFont="1" applyFill="1" applyAlignment="1" applyProtection="1">
      <alignment horizontal="center" wrapText="1"/>
      <protection locked="0"/>
    </xf>
    <xf numFmtId="0" fontId="14" fillId="8" borderId="0" xfId="0" applyFont="1" applyFill="1" applyAlignment="1" applyProtection="1">
      <alignment wrapText="1"/>
      <protection locked="0"/>
    </xf>
    <xf numFmtId="0" fontId="14" fillId="0" borderId="0" xfId="0" applyFont="1" applyFill="1" applyAlignment="1" applyProtection="1">
      <alignment horizontal="center" wrapText="1"/>
      <protection locked="0"/>
    </xf>
    <xf numFmtId="0" fontId="14" fillId="0" borderId="0" xfId="0" applyFont="1" applyFill="1" applyAlignment="1" applyProtection="1">
      <alignment wrapText="1"/>
      <protection locked="0"/>
    </xf>
    <xf numFmtId="0" fontId="14" fillId="0" borderId="0" xfId="0" applyFont="1" applyFill="1" applyProtection="1">
      <protection locked="0"/>
    </xf>
    <xf numFmtId="0" fontId="24" fillId="8" borderId="0" xfId="0" applyFont="1" applyFill="1" applyProtection="1">
      <protection locked="0"/>
    </xf>
    <xf numFmtId="0" fontId="11" fillId="8" borderId="0" xfId="0" applyFont="1" applyFill="1" applyAlignment="1" applyProtection="1">
      <alignment vertical="center" wrapText="1"/>
      <protection locked="0"/>
    </xf>
    <xf numFmtId="0" fontId="11" fillId="8" borderId="0" xfId="0" applyFont="1" applyFill="1" applyAlignment="1" applyProtection="1">
      <alignment vertical="center"/>
      <protection locked="0"/>
    </xf>
    <xf numFmtId="0" fontId="24" fillId="8" borderId="0" xfId="0" applyFont="1" applyFill="1" applyAlignment="1" applyProtection="1">
      <alignment horizontal="center"/>
      <protection locked="0"/>
    </xf>
    <xf numFmtId="0" fontId="51" fillId="8" borderId="0" xfId="0" applyFont="1" applyFill="1" applyProtection="1">
      <protection locked="0"/>
    </xf>
    <xf numFmtId="0" fontId="51" fillId="8" borderId="0" xfId="0" applyFont="1" applyFill="1" applyAlignment="1" applyProtection="1">
      <alignment horizontal="center"/>
      <protection locked="0"/>
    </xf>
    <xf numFmtId="0" fontId="24" fillId="8" borderId="0" xfId="0" applyFont="1" applyFill="1" applyAlignment="1" applyProtection="1">
      <alignment vertical="center"/>
      <protection locked="0"/>
    </xf>
    <xf numFmtId="0" fontId="52" fillId="8" borderId="0" xfId="0" applyFont="1" applyFill="1" applyAlignment="1" applyProtection="1">
      <alignment vertical="center"/>
      <protection locked="0"/>
    </xf>
    <xf numFmtId="0" fontId="14" fillId="0" borderId="0" xfId="0" applyFont="1"/>
    <xf numFmtId="0" fontId="24" fillId="21" borderId="23" xfId="0" applyFont="1" applyFill="1" applyBorder="1" applyAlignment="1">
      <alignment horizontal="center" vertical="center"/>
    </xf>
    <xf numFmtId="0" fontId="51" fillId="19" borderId="5" xfId="0" applyFont="1" applyFill="1" applyBorder="1" applyAlignment="1">
      <alignment horizontal="center" vertical="center" wrapText="1"/>
    </xf>
    <xf numFmtId="0" fontId="51" fillId="7" borderId="5" xfId="0" applyFont="1" applyFill="1" applyBorder="1" applyAlignment="1">
      <alignment horizontal="center" vertical="center" wrapText="1"/>
    </xf>
    <xf numFmtId="0" fontId="24" fillId="21" borderId="5" xfId="0" applyFont="1" applyFill="1" applyBorder="1" applyAlignment="1">
      <alignment horizontal="center" vertical="center" wrapText="1"/>
    </xf>
    <xf numFmtId="0" fontId="14" fillId="8" borderId="24" xfId="0" applyFont="1" applyFill="1" applyBorder="1" applyAlignment="1">
      <alignment horizontal="justify" vertical="center" wrapText="1"/>
    </xf>
    <xf numFmtId="0" fontId="24" fillId="22" borderId="14" xfId="0" applyFont="1" applyFill="1" applyBorder="1" applyAlignment="1">
      <alignment horizontal="center" vertical="center"/>
    </xf>
    <xf numFmtId="0" fontId="51" fillId="19" borderId="4" xfId="0" applyFont="1" applyFill="1" applyBorder="1" applyAlignment="1">
      <alignment horizontal="center" vertical="center" wrapText="1"/>
    </xf>
    <xf numFmtId="0" fontId="51" fillId="7" borderId="4" xfId="0" applyFont="1" applyFill="1" applyBorder="1" applyAlignment="1">
      <alignment horizontal="center" vertical="center" wrapText="1"/>
    </xf>
    <xf numFmtId="0" fontId="24" fillId="22" borderId="4" xfId="0" applyFont="1" applyFill="1" applyBorder="1" applyAlignment="1">
      <alignment horizontal="center" vertical="center" wrapText="1"/>
    </xf>
    <xf numFmtId="0" fontId="14" fillId="8" borderId="15" xfId="0" applyFont="1" applyFill="1" applyBorder="1" applyAlignment="1">
      <alignment horizontal="justify" vertical="center" wrapText="1"/>
    </xf>
    <xf numFmtId="0" fontId="24" fillId="17" borderId="14" xfId="0" applyFont="1" applyFill="1" applyBorder="1" applyAlignment="1">
      <alignment horizontal="center" vertical="center"/>
    </xf>
    <xf numFmtId="0" fontId="24" fillId="17" borderId="4" xfId="0" applyFont="1" applyFill="1" applyBorder="1" applyAlignment="1">
      <alignment horizontal="center" vertical="center" wrapText="1"/>
    </xf>
    <xf numFmtId="0" fontId="24" fillId="24" borderId="14" xfId="0" applyFont="1" applyFill="1" applyBorder="1" applyAlignment="1">
      <alignment horizontal="center" vertical="center"/>
    </xf>
    <xf numFmtId="0" fontId="24" fillId="24" borderId="4" xfId="0" applyFont="1" applyFill="1" applyBorder="1" applyAlignment="1">
      <alignment horizontal="center" vertical="center" wrapText="1"/>
    </xf>
    <xf numFmtId="0" fontId="51" fillId="20" borderId="4" xfId="0" applyFont="1" applyFill="1" applyBorder="1" applyAlignment="1">
      <alignment horizontal="center" vertical="center" wrapText="1"/>
    </xf>
    <xf numFmtId="0" fontId="24" fillId="21" borderId="4" xfId="0" applyFont="1" applyFill="1" applyBorder="1" applyAlignment="1">
      <alignment horizontal="center" vertical="center" wrapText="1"/>
    </xf>
    <xf numFmtId="0" fontId="24" fillId="23" borderId="14" xfId="0" applyFont="1" applyFill="1" applyBorder="1" applyAlignment="1">
      <alignment horizontal="center" vertical="center"/>
    </xf>
    <xf numFmtId="0" fontId="24" fillId="16" borderId="4" xfId="0" applyFont="1" applyFill="1" applyBorder="1" applyAlignment="1">
      <alignment horizontal="center" vertical="center" wrapText="1"/>
    </xf>
    <xf numFmtId="0" fontId="24" fillId="4" borderId="4" xfId="0" applyFont="1" applyFill="1" applyBorder="1" applyAlignment="1">
      <alignment horizontal="center" vertical="center" wrapText="1"/>
    </xf>
    <xf numFmtId="0" fontId="24" fillId="24" borderId="16" xfId="0" applyFont="1" applyFill="1" applyBorder="1" applyAlignment="1">
      <alignment horizontal="center" vertical="center"/>
    </xf>
    <xf numFmtId="0" fontId="24" fillId="4" borderId="17" xfId="0" applyFont="1" applyFill="1" applyBorder="1" applyAlignment="1">
      <alignment horizontal="center" vertical="center" wrapText="1"/>
    </xf>
    <xf numFmtId="0" fontId="51" fillId="7" borderId="17" xfId="0" applyFont="1" applyFill="1" applyBorder="1" applyAlignment="1">
      <alignment horizontal="center" vertical="center" wrapText="1"/>
    </xf>
    <xf numFmtId="0" fontId="24" fillId="24" borderId="17" xfId="0" applyFont="1" applyFill="1" applyBorder="1" applyAlignment="1">
      <alignment horizontal="center" vertical="center" wrapText="1"/>
    </xf>
    <xf numFmtId="0" fontId="14" fillId="8" borderId="18" xfId="0" applyFont="1" applyFill="1" applyBorder="1" applyAlignment="1">
      <alignment horizontal="justify" vertical="center" wrapText="1"/>
    </xf>
    <xf numFmtId="0" fontId="43" fillId="28" borderId="44" xfId="0" applyFont="1" applyFill="1" applyBorder="1" applyAlignment="1">
      <alignment horizontal="center" vertical="center"/>
    </xf>
    <xf numFmtId="0" fontId="43" fillId="28" borderId="43" xfId="0" applyFont="1" applyFill="1" applyBorder="1" applyAlignment="1">
      <alignment horizontal="center" vertical="center" wrapText="1"/>
    </xf>
    <xf numFmtId="0" fontId="43" fillId="28" borderId="43" xfId="0" applyFont="1" applyFill="1" applyBorder="1" applyAlignment="1">
      <alignment horizontal="center" vertical="center"/>
    </xf>
    <xf numFmtId="0" fontId="43" fillId="28" borderId="42" xfId="0" applyFont="1" applyFill="1" applyBorder="1" applyAlignment="1">
      <alignment horizontal="center" vertical="center"/>
    </xf>
    <xf numFmtId="0" fontId="57" fillId="15" borderId="0" xfId="0" applyFont="1" applyFill="1" applyBorder="1" applyAlignment="1" applyProtection="1">
      <alignment horizontal="center" vertical="center"/>
      <protection locked="0"/>
    </xf>
    <xf numFmtId="0" fontId="63" fillId="8" borderId="0" xfId="0" applyFont="1" applyFill="1" applyProtection="1">
      <protection locked="0"/>
    </xf>
    <xf numFmtId="0" fontId="63" fillId="8" borderId="0" xfId="0" applyFont="1" applyFill="1" applyAlignment="1" applyProtection="1">
      <alignment horizontal="center" wrapText="1"/>
      <protection locked="0"/>
    </xf>
    <xf numFmtId="0" fontId="57" fillId="0" borderId="0" xfId="0" applyFont="1" applyFill="1" applyBorder="1" applyProtection="1">
      <protection locked="0"/>
    </xf>
    <xf numFmtId="0" fontId="63" fillId="0" borderId="0" xfId="0" applyFont="1" applyFill="1" applyProtection="1">
      <protection locked="0"/>
    </xf>
    <xf numFmtId="0" fontId="63" fillId="0" borderId="0" xfId="0" applyFont="1" applyFill="1" applyAlignment="1" applyProtection="1">
      <alignment horizontal="center" wrapText="1"/>
      <protection locked="0"/>
    </xf>
    <xf numFmtId="0" fontId="64" fillId="8" borderId="0" xfId="0" applyFont="1" applyFill="1" applyBorder="1" applyAlignment="1" applyProtection="1">
      <alignment horizontal="center" wrapText="1"/>
      <protection locked="0"/>
    </xf>
    <xf numFmtId="0" fontId="63" fillId="8" borderId="0" xfId="0" applyFont="1" applyFill="1" applyAlignment="1" applyProtection="1">
      <alignment wrapText="1"/>
      <protection locked="0"/>
    </xf>
    <xf numFmtId="0" fontId="45" fillId="8" borderId="0" xfId="0" applyFont="1" applyFill="1" applyAlignment="1" applyProtection="1">
      <alignment horizontal="center" wrapText="1"/>
      <protection locked="0"/>
    </xf>
    <xf numFmtId="0" fontId="57" fillId="8" borderId="0" xfId="0" applyFont="1" applyFill="1" applyBorder="1" applyProtection="1">
      <protection locked="0"/>
    </xf>
    <xf numFmtId="1" fontId="63" fillId="8" borderId="0" xfId="0" applyNumberFormat="1" applyFont="1" applyFill="1" applyProtection="1">
      <protection locked="0"/>
    </xf>
    <xf numFmtId="0" fontId="64" fillId="0" borderId="0" xfId="0" applyFont="1" applyFill="1" applyBorder="1" applyProtection="1">
      <protection locked="0"/>
    </xf>
    <xf numFmtId="0" fontId="64" fillId="8" borderId="0" xfId="0" applyFont="1" applyFill="1" applyProtection="1">
      <protection locked="0"/>
    </xf>
    <xf numFmtId="0" fontId="52" fillId="8" borderId="0" xfId="0" applyFont="1" applyFill="1" applyAlignment="1" applyProtection="1">
      <alignment vertical="center" wrapText="1"/>
      <protection locked="0"/>
    </xf>
    <xf numFmtId="0" fontId="14" fillId="12" borderId="47" xfId="0" applyFont="1" applyFill="1" applyBorder="1" applyProtection="1">
      <protection hidden="1"/>
    </xf>
    <xf numFmtId="0" fontId="14" fillId="12" borderId="40" xfId="0" applyFont="1" applyFill="1" applyBorder="1" applyProtection="1">
      <protection hidden="1"/>
    </xf>
    <xf numFmtId="0" fontId="14" fillId="12" borderId="51" xfId="0" applyFont="1" applyFill="1" applyBorder="1" applyProtection="1">
      <protection hidden="1"/>
    </xf>
    <xf numFmtId="0" fontId="14" fillId="12" borderId="45" xfId="0" applyFont="1" applyFill="1" applyBorder="1" applyProtection="1">
      <protection hidden="1"/>
    </xf>
    <xf numFmtId="0" fontId="14" fillId="12" borderId="0" xfId="0" applyFont="1" applyFill="1" applyBorder="1" applyProtection="1">
      <protection hidden="1"/>
    </xf>
    <xf numFmtId="0" fontId="14" fillId="12" borderId="46" xfId="0" applyFont="1" applyFill="1" applyBorder="1" applyProtection="1">
      <protection hidden="1"/>
    </xf>
    <xf numFmtId="0" fontId="5" fillId="12" borderId="28" xfId="0" applyFont="1" applyFill="1" applyBorder="1" applyAlignment="1" applyProtection="1">
      <alignment horizontal="right" vertical="top"/>
      <protection hidden="1"/>
    </xf>
    <xf numFmtId="0" fontId="14" fillId="12" borderId="10" xfId="0" applyFont="1" applyFill="1" applyBorder="1" applyProtection="1">
      <protection hidden="1"/>
    </xf>
    <xf numFmtId="0" fontId="14" fillId="12" borderId="29" xfId="0" applyFont="1" applyFill="1" applyBorder="1" applyProtection="1">
      <protection hidden="1"/>
    </xf>
    <xf numFmtId="0" fontId="14" fillId="12" borderId="30" xfId="0" applyFont="1" applyFill="1" applyBorder="1" applyProtection="1">
      <protection hidden="1"/>
    </xf>
    <xf numFmtId="0" fontId="14" fillId="12" borderId="31" xfId="0" applyFont="1" applyFill="1" applyBorder="1" applyProtection="1">
      <protection hidden="1"/>
    </xf>
    <xf numFmtId="0" fontId="14" fillId="12" borderId="32" xfId="0" applyFont="1" applyFill="1" applyBorder="1" applyProtection="1">
      <protection hidden="1"/>
    </xf>
    <xf numFmtId="0" fontId="14" fillId="12" borderId="33" xfId="0" applyFont="1" applyFill="1" applyBorder="1" applyProtection="1">
      <protection hidden="1"/>
    </xf>
    <xf numFmtId="0" fontId="14" fillId="12" borderId="34" xfId="0" applyFont="1" applyFill="1" applyBorder="1" applyProtection="1">
      <protection hidden="1"/>
    </xf>
    <xf numFmtId="0" fontId="5" fillId="12" borderId="35" xfId="0" applyFont="1" applyFill="1" applyBorder="1" applyAlignment="1" applyProtection="1">
      <alignment horizontal="right" vertical="top"/>
      <protection hidden="1"/>
    </xf>
    <xf numFmtId="0" fontId="14" fillId="12" borderId="36" xfId="0" applyFont="1" applyFill="1" applyBorder="1" applyProtection="1">
      <protection hidden="1"/>
    </xf>
    <xf numFmtId="0" fontId="62" fillId="12" borderId="37" xfId="0" applyFont="1" applyFill="1" applyBorder="1" applyAlignment="1" applyProtection="1">
      <alignment horizontal="left" vertical="top"/>
      <protection hidden="1"/>
    </xf>
    <xf numFmtId="0" fontId="62" fillId="12" borderId="0" xfId="0" applyFont="1" applyFill="1" applyBorder="1" applyAlignment="1" applyProtection="1">
      <alignment horizontal="left" vertical="top"/>
      <protection hidden="1"/>
    </xf>
    <xf numFmtId="0" fontId="62" fillId="12" borderId="38" xfId="0" applyFont="1" applyFill="1" applyBorder="1" applyAlignment="1" applyProtection="1">
      <alignment horizontal="right" vertical="top"/>
      <protection hidden="1"/>
    </xf>
    <xf numFmtId="0" fontId="5" fillId="12" borderId="39" xfId="0" applyFont="1" applyFill="1" applyBorder="1" applyAlignment="1" applyProtection="1">
      <alignment horizontal="right" vertical="top"/>
      <protection hidden="1"/>
    </xf>
    <xf numFmtId="0" fontId="5" fillId="12" borderId="37" xfId="0" applyFont="1" applyFill="1" applyBorder="1" applyAlignment="1" applyProtection="1">
      <alignment horizontal="right" vertical="top"/>
      <protection hidden="1"/>
    </xf>
    <xf numFmtId="0" fontId="5" fillId="12" borderId="0" xfId="0" applyFont="1" applyFill="1" applyBorder="1" applyAlignment="1" applyProtection="1">
      <alignment horizontal="right" vertical="top"/>
      <protection hidden="1"/>
    </xf>
    <xf numFmtId="0" fontId="62" fillId="12" borderId="28" xfId="0" applyFont="1" applyFill="1" applyBorder="1" applyAlignment="1" applyProtection="1">
      <alignment horizontal="right" vertical="top"/>
      <protection hidden="1"/>
    </xf>
    <xf numFmtId="0" fontId="14" fillId="12" borderId="8" xfId="0" applyFont="1" applyFill="1" applyBorder="1" applyProtection="1">
      <protection hidden="1"/>
    </xf>
    <xf numFmtId="0" fontId="14" fillId="12" borderId="48" xfId="0" applyFont="1" applyFill="1" applyBorder="1" applyProtection="1">
      <protection hidden="1"/>
    </xf>
    <xf numFmtId="0" fontId="14" fillId="12" borderId="41" xfId="0" applyFont="1" applyFill="1" applyBorder="1" applyProtection="1">
      <protection hidden="1"/>
    </xf>
    <xf numFmtId="0" fontId="14" fillId="12" borderId="49" xfId="0" applyFont="1" applyFill="1" applyBorder="1" applyProtection="1">
      <protection hidden="1"/>
    </xf>
    <xf numFmtId="0" fontId="14" fillId="8" borderId="0" xfId="0" applyFont="1" applyFill="1" applyProtection="1">
      <protection hidden="1"/>
    </xf>
    <xf numFmtId="0" fontId="24" fillId="8" borderId="0" xfId="0" applyFont="1" applyFill="1" applyAlignment="1" applyProtection="1">
      <alignment vertical="center" wrapText="1"/>
      <protection hidden="1"/>
    </xf>
    <xf numFmtId="0" fontId="24" fillId="8" borderId="0" xfId="0" applyFont="1" applyFill="1" applyAlignment="1" applyProtection="1">
      <alignment vertical="center"/>
      <protection hidden="1"/>
    </xf>
    <xf numFmtId="0" fontId="14" fillId="0" borderId="0" xfId="0" applyFont="1" applyBorder="1" applyAlignment="1">
      <alignment horizontal="center"/>
    </xf>
    <xf numFmtId="0" fontId="56" fillId="0" borderId="0" xfId="0" applyFont="1" applyBorder="1" applyAlignment="1">
      <alignment horizontal="center" vertical="center" wrapText="1"/>
    </xf>
    <xf numFmtId="14" fontId="67" fillId="0" borderId="0" xfId="0" applyNumberFormat="1" applyFont="1" applyBorder="1" applyAlignment="1">
      <alignment horizontal="center" vertical="center" wrapText="1"/>
    </xf>
    <xf numFmtId="0" fontId="11" fillId="0" borderId="0" xfId="6" applyFont="1" applyBorder="1"/>
    <xf numFmtId="0" fontId="11" fillId="8" borderId="0" xfId="6" applyFont="1" applyFill="1"/>
    <xf numFmtId="0" fontId="11" fillId="0" borderId="0" xfId="6" applyFont="1" applyFill="1"/>
    <xf numFmtId="0" fontId="11" fillId="0" borderId="0" xfId="6" applyFont="1"/>
    <xf numFmtId="0" fontId="72" fillId="8" borderId="0" xfId="4" applyFont="1" applyFill="1" applyBorder="1" applyAlignment="1"/>
    <xf numFmtId="0" fontId="69" fillId="0" borderId="0" xfId="5" applyFont="1" applyFill="1" applyBorder="1"/>
    <xf numFmtId="0" fontId="11" fillId="0" borderId="0" xfId="6" applyFont="1" applyFill="1" applyBorder="1"/>
    <xf numFmtId="0" fontId="72" fillId="31" borderId="0" xfId="4" applyFont="1" applyFill="1" applyBorder="1" applyAlignment="1"/>
    <xf numFmtId="0" fontId="69" fillId="0" borderId="0" xfId="5" applyFont="1" applyFill="1" applyBorder="1" applyAlignment="1"/>
    <xf numFmtId="0" fontId="11" fillId="0" borderId="0" xfId="6" applyFont="1" applyFill="1" applyBorder="1" applyAlignment="1"/>
    <xf numFmtId="0" fontId="11" fillId="0" borderId="0" xfId="6" applyFont="1" applyFill="1" applyAlignment="1"/>
    <xf numFmtId="0" fontId="69" fillId="8" borderId="0" xfId="5" applyFont="1" applyFill="1"/>
    <xf numFmtId="0" fontId="69" fillId="0" borderId="0" xfId="5" applyFont="1" applyFill="1"/>
    <xf numFmtId="0" fontId="69" fillId="8" borderId="0" xfId="5" applyFont="1" applyFill="1" applyBorder="1"/>
    <xf numFmtId="0" fontId="11" fillId="8" borderId="0" xfId="6" applyFont="1" applyFill="1" applyBorder="1"/>
    <xf numFmtId="0" fontId="69" fillId="0" borderId="0" xfId="0" applyFont="1" applyBorder="1" applyAlignment="1">
      <alignment vertical="center" wrapText="1"/>
    </xf>
    <xf numFmtId="0" fontId="70" fillId="0" borderId="0" xfId="0" applyFont="1" applyBorder="1" applyAlignment="1">
      <alignment vertical="center" wrapText="1"/>
    </xf>
    <xf numFmtId="14" fontId="70" fillId="0" borderId="0" xfId="0" applyNumberFormat="1" applyFont="1" applyBorder="1" applyAlignment="1">
      <alignment vertical="center" wrapText="1"/>
    </xf>
    <xf numFmtId="0" fontId="69" fillId="0" borderId="65" xfId="0" applyFont="1" applyBorder="1" applyAlignment="1">
      <alignment horizontal="center" vertical="center" wrapText="1"/>
    </xf>
    <xf numFmtId="0" fontId="70" fillId="0" borderId="65" xfId="0" applyFont="1" applyBorder="1" applyAlignment="1">
      <alignment horizontal="center" vertical="center" wrapText="1"/>
    </xf>
    <xf numFmtId="14" fontId="70" fillId="0" borderId="65" xfId="0" applyNumberFormat="1" applyFont="1" applyBorder="1" applyAlignment="1">
      <alignment horizontal="center" vertical="center" wrapText="1"/>
    </xf>
    <xf numFmtId="0" fontId="71" fillId="0" borderId="0" xfId="0" applyFont="1" applyBorder="1" applyAlignment="1">
      <alignment horizontal="center" vertical="center" wrapText="1"/>
    </xf>
    <xf numFmtId="14" fontId="70" fillId="0" borderId="0" xfId="0" applyNumberFormat="1" applyFont="1" applyBorder="1" applyAlignment="1">
      <alignment horizontal="center" vertical="center" wrapText="1"/>
    </xf>
    <xf numFmtId="0" fontId="79" fillId="0" borderId="65" xfId="6" applyFont="1" applyBorder="1"/>
    <xf numFmtId="0" fontId="82" fillId="8" borderId="65" xfId="0" applyFont="1" applyFill="1" applyBorder="1" applyProtection="1">
      <protection locked="0"/>
    </xf>
    <xf numFmtId="0" fontId="82" fillId="8" borderId="65" xfId="0" applyFont="1" applyFill="1" applyBorder="1" applyAlignment="1" applyProtection="1">
      <alignment horizontal="center" wrapText="1"/>
      <protection locked="0"/>
    </xf>
    <xf numFmtId="0" fontId="50" fillId="0" borderId="0" xfId="0" applyFont="1" applyBorder="1" applyAlignment="1">
      <alignment horizontal="center" vertical="center"/>
    </xf>
    <xf numFmtId="14" fontId="50" fillId="0" borderId="0" xfId="0" applyNumberFormat="1" applyFont="1" applyBorder="1" applyAlignment="1">
      <alignment horizontal="center" vertical="center"/>
    </xf>
    <xf numFmtId="0" fontId="14" fillId="0" borderId="0" xfId="0" applyFont="1" applyAlignment="1" applyProtection="1">
      <alignment horizontal="center" vertical="center" wrapText="1"/>
      <protection locked="0"/>
    </xf>
    <xf numFmtId="0" fontId="14" fillId="0" borderId="0" xfId="0" applyFont="1" applyAlignment="1" applyProtection="1">
      <alignment horizontal="justify" vertical="center" wrapText="1"/>
      <protection locked="0"/>
    </xf>
    <xf numFmtId="0" fontId="14" fillId="0" borderId="0" xfId="0" applyFont="1" applyBorder="1" applyAlignment="1" applyProtection="1">
      <alignment horizontal="center" vertical="center" wrapText="1"/>
      <protection locked="0"/>
    </xf>
    <xf numFmtId="0" fontId="24" fillId="0" borderId="0" xfId="0" applyFont="1" applyBorder="1" applyAlignment="1" applyProtection="1">
      <alignment horizontal="center" vertical="center" wrapText="1"/>
      <protection hidden="1"/>
    </xf>
    <xf numFmtId="0" fontId="14" fillId="0" borderId="0" xfId="0" applyFont="1" applyBorder="1" applyAlignment="1" applyProtection="1">
      <alignment horizontal="center" vertical="center" wrapText="1"/>
      <protection hidden="1"/>
    </xf>
    <xf numFmtId="0" fontId="14" fillId="0" borderId="0" xfId="0" applyFont="1" applyFill="1" applyBorder="1" applyAlignment="1">
      <alignment vertical="center" wrapText="1"/>
    </xf>
    <xf numFmtId="0" fontId="14" fillId="0" borderId="0" xfId="0" applyFont="1" applyFill="1" applyBorder="1" applyAlignment="1">
      <alignment horizontal="center" vertical="center" wrapText="1"/>
    </xf>
    <xf numFmtId="0" fontId="14" fillId="0" borderId="0" xfId="0" applyFont="1" applyAlignment="1">
      <alignment horizontal="center" vertical="center"/>
    </xf>
    <xf numFmtId="0" fontId="14" fillId="0" borderId="0" xfId="0" applyFont="1" applyAlignment="1">
      <alignment vertical="center"/>
    </xf>
    <xf numFmtId="0" fontId="14" fillId="0" borderId="0" xfId="0" applyFont="1" applyAlignment="1">
      <alignment vertical="center" wrapText="1"/>
    </xf>
    <xf numFmtId="0" fontId="73" fillId="0" borderId="0" xfId="0" applyFont="1" applyBorder="1" applyAlignment="1">
      <alignment vertical="center" wrapText="1"/>
    </xf>
    <xf numFmtId="0" fontId="75" fillId="0" borderId="0" xfId="0" applyFont="1" applyBorder="1" applyAlignment="1">
      <alignment vertical="center" wrapText="1"/>
    </xf>
    <xf numFmtId="14" fontId="75" fillId="0" borderId="0" xfId="0" applyNumberFormat="1" applyFont="1" applyBorder="1" applyAlignment="1">
      <alignment vertical="center" wrapText="1"/>
    </xf>
    <xf numFmtId="0" fontId="59" fillId="11" borderId="64" xfId="0" applyFont="1" applyFill="1" applyBorder="1" applyAlignment="1" applyProtection="1">
      <alignment horizontal="center" vertical="center" wrapText="1"/>
      <protection locked="0"/>
    </xf>
    <xf numFmtId="0" fontId="59" fillId="11" borderId="64" xfId="0" applyFont="1" applyFill="1" applyBorder="1" applyAlignment="1" applyProtection="1">
      <alignment horizontal="center" vertical="center"/>
      <protection locked="0"/>
    </xf>
    <xf numFmtId="0" fontId="24" fillId="8" borderId="64" xfId="0" applyFont="1" applyFill="1" applyBorder="1" applyProtection="1">
      <protection locked="0"/>
    </xf>
    <xf numFmtId="0" fontId="14" fillId="8" borderId="64" xfId="0" applyFont="1" applyFill="1" applyBorder="1" applyProtection="1">
      <protection locked="0"/>
    </xf>
    <xf numFmtId="0" fontId="19" fillId="28" borderId="64" xfId="0" applyFont="1" applyFill="1" applyBorder="1" applyAlignment="1" applyProtection="1">
      <alignment horizontal="right" vertical="center"/>
      <protection locked="0"/>
    </xf>
    <xf numFmtId="0" fontId="16" fillId="0" borderId="0" xfId="4" applyFont="1" applyFill="1" applyBorder="1" applyProtection="1">
      <protection locked="0"/>
    </xf>
    <xf numFmtId="0" fontId="44" fillId="0" borderId="0" xfId="4" applyFont="1" applyFill="1" applyBorder="1" applyAlignment="1" applyProtection="1">
      <alignment horizontal="center" vertical="center"/>
      <protection locked="0"/>
    </xf>
    <xf numFmtId="0" fontId="24" fillId="0" borderId="0" xfId="6" applyFont="1" applyFill="1"/>
    <xf numFmtId="0" fontId="18" fillId="0" borderId="0" xfId="4" applyFont="1" applyFill="1" applyBorder="1" applyAlignment="1" applyProtection="1">
      <alignment horizontal="center" vertical="center"/>
      <protection locked="0"/>
    </xf>
    <xf numFmtId="0" fontId="17" fillId="0" borderId="0" xfId="4" applyFont="1" applyFill="1" applyBorder="1" applyAlignment="1" applyProtection="1">
      <alignment horizontal="left"/>
      <protection locked="0"/>
    </xf>
    <xf numFmtId="165" fontId="41" fillId="0" borderId="0" xfId="6" applyNumberFormat="1" applyFont="1" applyFill="1" applyBorder="1" applyAlignment="1" applyProtection="1">
      <alignment horizontal="left"/>
      <protection locked="0"/>
    </xf>
    <xf numFmtId="165" fontId="39" fillId="0" borderId="0" xfId="6" applyNumberFormat="1" applyFont="1" applyFill="1" applyBorder="1" applyAlignment="1" applyProtection="1">
      <alignment horizontal="left"/>
      <protection locked="0"/>
    </xf>
    <xf numFmtId="165" fontId="40" fillId="0" borderId="0" xfId="6" applyNumberFormat="1" applyFont="1" applyFill="1" applyBorder="1" applyAlignment="1" applyProtection="1">
      <alignment horizontal="left"/>
      <protection locked="0"/>
    </xf>
    <xf numFmtId="0" fontId="11" fillId="0" borderId="0" xfId="6" applyFont="1" applyFill="1" applyBorder="1" applyAlignment="1" applyProtection="1"/>
    <xf numFmtId="0" fontId="11" fillId="0" borderId="0" xfId="6" applyFont="1" applyFill="1" applyBorder="1" applyAlignment="1" applyProtection="1">
      <alignment vertical="center"/>
    </xf>
    <xf numFmtId="0" fontId="23" fillId="0" borderId="0" xfId="6" applyFont="1" applyFill="1" applyBorder="1" applyAlignment="1" applyProtection="1">
      <alignment vertical="center"/>
    </xf>
    <xf numFmtId="0" fontId="26" fillId="0" borderId="0" xfId="6" applyFont="1" applyFill="1" applyBorder="1" applyAlignment="1" applyProtection="1">
      <alignment vertical="center"/>
    </xf>
    <xf numFmtId="0" fontId="6" fillId="0" borderId="0" xfId="6" applyFont="1" applyFill="1" applyBorder="1" applyAlignment="1" applyProtection="1">
      <alignment vertical="center"/>
    </xf>
    <xf numFmtId="0" fontId="9" fillId="0" borderId="0" xfId="6" applyFont="1" applyFill="1" applyBorder="1" applyAlignment="1" applyProtection="1">
      <alignment vertical="center"/>
    </xf>
    <xf numFmtId="0" fontId="48" fillId="0" borderId="0" xfId="6" applyFont="1" applyFill="1" applyBorder="1" applyAlignment="1" applyProtection="1">
      <alignment horizontal="left"/>
      <protection locked="0"/>
    </xf>
    <xf numFmtId="0" fontId="22" fillId="0" borderId="0" xfId="6" applyFont="1" applyFill="1" applyBorder="1" applyAlignment="1" applyProtection="1">
      <alignment horizontal="left"/>
      <protection locked="0"/>
    </xf>
    <xf numFmtId="0" fontId="24" fillId="0" borderId="0" xfId="6" applyFont="1" applyFill="1" applyBorder="1" applyAlignment="1" applyProtection="1">
      <alignment horizontal="left"/>
      <protection locked="0"/>
    </xf>
    <xf numFmtId="0" fontId="6" fillId="0" borderId="0" xfId="6" applyFont="1" applyFill="1" applyBorder="1" applyAlignment="1" applyProtection="1">
      <alignment horizontal="left"/>
      <protection locked="0"/>
    </xf>
    <xf numFmtId="0" fontId="6" fillId="0" borderId="0" xfId="6" applyFont="1" applyFill="1" applyBorder="1" applyAlignment="1" applyProtection="1"/>
    <xf numFmtId="0" fontId="39" fillId="0" borderId="0" xfId="6" applyFont="1" applyFill="1" applyBorder="1" applyAlignment="1" applyProtection="1">
      <alignment horizontal="left"/>
      <protection locked="0"/>
    </xf>
    <xf numFmtId="0" fontId="41" fillId="0" borderId="0" xfId="6" applyFont="1" applyFill="1" applyBorder="1"/>
    <xf numFmtId="0" fontId="39" fillId="0" borderId="0" xfId="6" applyFont="1" applyFill="1" applyBorder="1"/>
    <xf numFmtId="165" fontId="25" fillId="0" borderId="0" xfId="6" applyNumberFormat="1" applyFont="1" applyFill="1" applyBorder="1" applyAlignment="1" applyProtection="1">
      <alignment horizontal="left"/>
      <protection locked="0"/>
    </xf>
    <xf numFmtId="0" fontId="9" fillId="0" borderId="0" xfId="6" applyFont="1" applyFill="1" applyBorder="1" applyAlignment="1" applyProtection="1">
      <alignment horizontal="left"/>
      <protection locked="0"/>
    </xf>
    <xf numFmtId="0" fontId="9" fillId="0" borderId="0" xfId="6" applyFont="1" applyFill="1" applyBorder="1" applyAlignment="1" applyProtection="1"/>
    <xf numFmtId="0" fontId="24" fillId="0" borderId="0" xfId="6" applyFont="1" applyFill="1" applyBorder="1"/>
    <xf numFmtId="0" fontId="9" fillId="0" borderId="87" xfId="6" applyFont="1" applyFill="1" applyBorder="1" applyAlignment="1" applyProtection="1">
      <alignment horizontal="center"/>
    </xf>
    <xf numFmtId="0" fontId="9" fillId="0" borderId="88" xfId="6" applyFont="1" applyFill="1" applyBorder="1" applyAlignment="1" applyProtection="1">
      <alignment horizontal="center"/>
    </xf>
    <xf numFmtId="0" fontId="9" fillId="0" borderId="89" xfId="6" applyFont="1" applyFill="1" applyBorder="1" applyAlignment="1" applyProtection="1">
      <alignment horizontal="center"/>
    </xf>
    <xf numFmtId="0" fontId="9" fillId="0" borderId="90" xfId="6" applyFont="1" applyFill="1" applyBorder="1" applyAlignment="1" applyProtection="1">
      <alignment horizontal="center"/>
    </xf>
    <xf numFmtId="0" fontId="9" fillId="0" borderId="91" xfId="6" applyFont="1" applyFill="1" applyBorder="1" applyAlignment="1" applyProtection="1">
      <alignment horizontal="center"/>
    </xf>
    <xf numFmtId="0" fontId="14" fillId="0" borderId="92" xfId="5" applyFont="1" applyFill="1" applyBorder="1"/>
    <xf numFmtId="0" fontId="14" fillId="0" borderId="93" xfId="5" applyFont="1" applyFill="1" applyBorder="1"/>
    <xf numFmtId="0" fontId="86" fillId="0" borderId="0" xfId="4" applyFont="1" applyFill="1" applyBorder="1" applyAlignment="1" applyProtection="1">
      <alignment horizontal="center" vertical="center"/>
      <protection locked="0"/>
    </xf>
    <xf numFmtId="0" fontId="58" fillId="0" borderId="0" xfId="4" applyFont="1" applyFill="1" applyBorder="1" applyAlignment="1" applyProtection="1">
      <alignment horizontal="center" vertical="center"/>
      <protection locked="0"/>
    </xf>
    <xf numFmtId="0" fontId="14" fillId="0" borderId="0" xfId="6" applyFont="1" applyFill="1" applyBorder="1" applyAlignment="1">
      <alignment horizontal="center"/>
    </xf>
    <xf numFmtId="49" fontId="41" fillId="0" borderId="0" xfId="6" applyNumberFormat="1" applyFont="1" applyFill="1" applyBorder="1" applyAlignment="1" applyProtection="1"/>
    <xf numFmtId="49" fontId="45" fillId="0" borderId="0" xfId="6" applyNumberFormat="1" applyFont="1" applyFill="1" applyBorder="1" applyAlignment="1" applyProtection="1"/>
    <xf numFmtId="49" fontId="21" fillId="0" borderId="0" xfId="6" applyNumberFormat="1" applyFont="1" applyFill="1" applyBorder="1" applyAlignment="1" applyProtection="1"/>
    <xf numFmtId="49" fontId="46" fillId="0" borderId="0" xfId="6" applyNumberFormat="1" applyFont="1" applyFill="1" applyBorder="1" applyAlignment="1" applyProtection="1"/>
    <xf numFmtId="0" fontId="9" fillId="0" borderId="0" xfId="6" applyFont="1" applyFill="1" applyBorder="1" applyAlignment="1" applyProtection="1">
      <alignment horizontal="center" vertical="center"/>
    </xf>
    <xf numFmtId="0" fontId="47" fillId="0" borderId="0" xfId="6" applyFont="1" applyFill="1" applyBorder="1" applyAlignment="1" applyProtection="1">
      <alignment horizontal="center" vertical="center"/>
      <protection locked="0"/>
    </xf>
    <xf numFmtId="165" fontId="47" fillId="0" borderId="0" xfId="6" applyNumberFormat="1" applyFont="1" applyFill="1" applyBorder="1" applyAlignment="1" applyProtection="1">
      <alignment horizontal="center" vertical="center"/>
      <protection locked="0"/>
    </xf>
    <xf numFmtId="49" fontId="41" fillId="0" borderId="0" xfId="6" applyNumberFormat="1" applyFont="1" applyFill="1" applyBorder="1" applyAlignment="1" applyProtection="1">
      <alignment vertical="center" shrinkToFit="1"/>
      <protection locked="0"/>
    </xf>
    <xf numFmtId="0" fontId="19" fillId="11" borderId="22" xfId="0" applyFont="1" applyFill="1" applyBorder="1" applyAlignment="1" applyProtection="1">
      <alignment horizontal="center" vertical="center" wrapText="1"/>
      <protection hidden="1"/>
    </xf>
    <xf numFmtId="0" fontId="38" fillId="3" borderId="22" xfId="0" applyFont="1" applyFill="1" applyBorder="1" applyAlignment="1" applyProtection="1">
      <alignment horizontal="center" vertical="center" wrapText="1"/>
      <protection hidden="1"/>
    </xf>
    <xf numFmtId="0" fontId="19" fillId="6" borderId="22" xfId="0" applyFont="1" applyFill="1" applyBorder="1" applyAlignment="1" applyProtection="1">
      <alignment horizontal="center" vertical="center"/>
      <protection hidden="1"/>
    </xf>
    <xf numFmtId="0" fontId="19" fillId="13" borderId="22" xfId="0" applyFont="1" applyFill="1" applyBorder="1" applyAlignment="1" applyProtection="1">
      <alignment horizontal="center" vertical="center"/>
      <protection hidden="1"/>
    </xf>
    <xf numFmtId="0" fontId="27" fillId="15" borderId="22" xfId="0" applyFont="1" applyFill="1" applyBorder="1" applyAlignment="1" applyProtection="1">
      <alignment horizontal="center"/>
      <protection locked="0"/>
    </xf>
    <xf numFmtId="0" fontId="89" fillId="8" borderId="22" xfId="0" applyFont="1" applyFill="1" applyBorder="1" applyProtection="1">
      <protection locked="0"/>
    </xf>
    <xf numFmtId="0" fontId="27" fillId="0" borderId="22" xfId="0" applyFont="1" applyFill="1" applyBorder="1" applyAlignment="1" applyProtection="1">
      <alignment horizontal="center" vertical="center"/>
      <protection locked="0"/>
    </xf>
    <xf numFmtId="0" fontId="27" fillId="0" borderId="22" xfId="0" applyFont="1" applyFill="1" applyBorder="1" applyAlignment="1" applyProtection="1">
      <alignment horizontal="center" vertical="center" wrapText="1"/>
      <protection locked="0"/>
    </xf>
    <xf numFmtId="0" fontId="27" fillId="0" borderId="22" xfId="0" applyFont="1" applyFill="1" applyBorder="1" applyAlignment="1" applyProtection="1">
      <alignment horizontal="center"/>
      <protection hidden="1"/>
    </xf>
    <xf numFmtId="0" fontId="27" fillId="0" borderId="22" xfId="0" applyFont="1" applyFill="1" applyBorder="1" applyAlignment="1" applyProtection="1">
      <alignment horizontal="center"/>
      <protection locked="0"/>
    </xf>
    <xf numFmtId="0" fontId="90" fillId="0" borderId="22" xfId="0" applyFont="1" applyFill="1" applyBorder="1" applyProtection="1">
      <protection locked="0"/>
    </xf>
    <xf numFmtId="0" fontId="27" fillId="0" borderId="22" xfId="0" applyFont="1" applyFill="1" applyBorder="1" applyProtection="1">
      <protection hidden="1"/>
    </xf>
    <xf numFmtId="0" fontId="92" fillId="13" borderId="22" xfId="0" applyFont="1" applyFill="1" applyBorder="1" applyAlignment="1" applyProtection="1">
      <alignment horizontal="center" vertical="center"/>
      <protection hidden="1"/>
    </xf>
    <xf numFmtId="0" fontId="92" fillId="8" borderId="22" xfId="0" applyFont="1" applyFill="1" applyBorder="1" applyProtection="1">
      <protection locked="0"/>
    </xf>
    <xf numFmtId="0" fontId="91" fillId="8" borderId="22" xfId="0" applyFont="1" applyFill="1" applyBorder="1" applyProtection="1">
      <protection locked="0"/>
    </xf>
    <xf numFmtId="0" fontId="93" fillId="13" borderId="22" xfId="0" applyFont="1" applyFill="1" applyBorder="1" applyAlignment="1" applyProtection="1">
      <alignment horizontal="center" vertical="center"/>
      <protection hidden="1"/>
    </xf>
    <xf numFmtId="0" fontId="91" fillId="8" borderId="0" xfId="0" applyFont="1" applyFill="1" applyProtection="1">
      <protection locked="0"/>
    </xf>
    <xf numFmtId="0" fontId="90" fillId="8" borderId="0" xfId="0" applyFont="1" applyFill="1" applyProtection="1">
      <protection locked="0"/>
    </xf>
    <xf numFmtId="0" fontId="88" fillId="8" borderId="0" xfId="0" applyFont="1" applyFill="1" applyProtection="1">
      <protection hidden="1"/>
    </xf>
    <xf numFmtId="0" fontId="94" fillId="0" borderId="22" xfId="0" applyFont="1" applyFill="1" applyBorder="1" applyAlignment="1" applyProtection="1">
      <alignment horizontal="center" vertical="center" wrapText="1"/>
      <protection locked="0"/>
    </xf>
    <xf numFmtId="0" fontId="94" fillId="13" borderId="22" xfId="0" applyFont="1" applyFill="1" applyBorder="1" applyAlignment="1" applyProtection="1">
      <alignment horizontal="center" vertical="center" wrapText="1"/>
      <protection hidden="1"/>
    </xf>
    <xf numFmtId="0" fontId="94" fillId="8" borderId="22" xfId="0" applyFont="1" applyFill="1" applyBorder="1" applyAlignment="1" applyProtection="1">
      <alignment horizontal="center" wrapText="1"/>
      <protection locked="0"/>
    </xf>
    <xf numFmtId="0" fontId="94" fillId="8" borderId="22" xfId="0" applyFont="1" applyFill="1" applyBorder="1" applyAlignment="1" applyProtection="1">
      <alignment wrapText="1"/>
      <protection locked="0"/>
    </xf>
    <xf numFmtId="0" fontId="53" fillId="8" borderId="22" xfId="0" applyFont="1" applyFill="1" applyBorder="1" applyAlignment="1" applyProtection="1">
      <alignment horizontal="center" vertical="center" wrapText="1"/>
      <protection locked="0"/>
    </xf>
    <xf numFmtId="0" fontId="95" fillId="13" borderId="22" xfId="0" applyFont="1" applyFill="1" applyBorder="1" applyAlignment="1" applyProtection="1">
      <alignment horizontal="center" vertical="center" wrapText="1"/>
      <protection hidden="1"/>
    </xf>
    <xf numFmtId="0" fontId="94" fillId="8" borderId="22" xfId="0" applyFont="1" applyFill="1" applyBorder="1" applyAlignment="1" applyProtection="1">
      <alignment horizontal="center" vertical="center" wrapText="1"/>
      <protection locked="0"/>
    </xf>
    <xf numFmtId="0" fontId="95" fillId="8" borderId="22" xfId="0" applyFont="1" applyFill="1" applyBorder="1" applyAlignment="1" applyProtection="1">
      <alignment horizontal="center" wrapText="1"/>
      <protection locked="0"/>
    </xf>
    <xf numFmtId="0" fontId="97" fillId="13" borderId="22" xfId="0" applyFont="1" applyFill="1" applyBorder="1" applyAlignment="1" applyProtection="1">
      <alignment horizontal="center" vertical="center"/>
      <protection hidden="1"/>
    </xf>
    <xf numFmtId="0" fontId="97" fillId="8" borderId="22" xfId="0" applyFont="1" applyFill="1" applyBorder="1" applyProtection="1">
      <protection locked="0"/>
    </xf>
    <xf numFmtId="0" fontId="94" fillId="8" borderId="22" xfId="0" applyFont="1" applyFill="1" applyBorder="1" applyProtection="1">
      <protection locked="0"/>
    </xf>
    <xf numFmtId="0" fontId="50" fillId="13" borderId="22" xfId="0" applyFont="1" applyFill="1" applyBorder="1" applyAlignment="1" applyProtection="1">
      <alignment horizontal="center" vertical="center"/>
      <protection hidden="1"/>
    </xf>
    <xf numFmtId="0" fontId="53" fillId="8" borderId="0" xfId="0" applyFont="1" applyFill="1" applyProtection="1">
      <protection locked="0"/>
    </xf>
    <xf numFmtId="0" fontId="94" fillId="8" borderId="0" xfId="0" applyFont="1" applyFill="1" applyProtection="1">
      <protection locked="0"/>
    </xf>
    <xf numFmtId="0" fontId="85" fillId="16" borderId="64" xfId="0" applyFont="1" applyFill="1" applyBorder="1" applyAlignment="1" applyProtection="1">
      <alignment horizontal="center" vertical="center" wrapText="1"/>
      <protection hidden="1"/>
    </xf>
    <xf numFmtId="0" fontId="94" fillId="16" borderId="64" xfId="0" applyFont="1" applyFill="1" applyBorder="1" applyAlignment="1" applyProtection="1">
      <alignment horizontal="center" vertical="center" wrapText="1"/>
      <protection hidden="1"/>
    </xf>
    <xf numFmtId="164" fontId="94" fillId="16" borderId="64" xfId="0" applyNumberFormat="1" applyFont="1" applyFill="1" applyBorder="1" applyAlignment="1" applyProtection="1">
      <alignment horizontal="center" vertical="center" wrapText="1"/>
      <protection hidden="1"/>
    </xf>
    <xf numFmtId="1" fontId="96" fillId="8" borderId="0" xfId="0" applyNumberFormat="1" applyFont="1" applyFill="1" applyProtection="1">
      <protection locked="0"/>
    </xf>
    <xf numFmtId="0" fontId="59" fillId="0" borderId="0" xfId="0" applyFont="1" applyFill="1" applyBorder="1" applyAlignment="1" applyProtection="1">
      <alignment vertical="center"/>
      <protection locked="0"/>
    </xf>
    <xf numFmtId="0" fontId="50" fillId="8" borderId="0" xfId="0" applyFont="1" applyFill="1" applyBorder="1" applyAlignment="1" applyProtection="1">
      <alignment vertical="center"/>
      <protection locked="0"/>
    </xf>
    <xf numFmtId="0" fontId="59" fillId="18" borderId="64" xfId="0" applyFont="1" applyFill="1" applyBorder="1" applyAlignment="1" applyProtection="1">
      <alignment horizontal="center" vertical="center" wrapText="1"/>
      <protection hidden="1"/>
    </xf>
    <xf numFmtId="0" fontId="96" fillId="18" borderId="64" xfId="0" applyFont="1" applyFill="1" applyBorder="1" applyAlignment="1" applyProtection="1">
      <alignment horizontal="center" vertical="center" wrapText="1"/>
      <protection hidden="1"/>
    </xf>
    <xf numFmtId="164" fontId="96" fillId="18" borderId="64" xfId="0" applyNumberFormat="1" applyFont="1" applyFill="1" applyBorder="1" applyAlignment="1" applyProtection="1">
      <alignment horizontal="center" vertical="center" wrapText="1"/>
      <protection hidden="1"/>
    </xf>
    <xf numFmtId="0" fontId="96" fillId="8" borderId="0" xfId="0" applyFont="1" applyFill="1" applyProtection="1">
      <protection locked="0"/>
    </xf>
    <xf numFmtId="0" fontId="59" fillId="0" borderId="0" xfId="0" applyFont="1" applyFill="1" applyBorder="1" applyAlignment="1" applyProtection="1">
      <alignment vertical="center" wrapText="1"/>
      <protection locked="0"/>
    </xf>
    <xf numFmtId="0" fontId="85" fillId="8" borderId="0" xfId="0" applyFont="1" applyFill="1" applyBorder="1" applyAlignment="1" applyProtection="1">
      <alignment vertical="center" wrapText="1"/>
      <protection locked="0"/>
    </xf>
    <xf numFmtId="0" fontId="96" fillId="8" borderId="0" xfId="0" applyFont="1" applyFill="1" applyAlignment="1" applyProtection="1">
      <alignment vertical="center"/>
      <protection hidden="1"/>
    </xf>
    <xf numFmtId="0" fontId="96" fillId="8" borderId="0" xfId="0" applyFont="1" applyFill="1" applyProtection="1">
      <protection hidden="1"/>
    </xf>
    <xf numFmtId="0" fontId="37" fillId="11" borderId="86" xfId="0" applyFont="1" applyFill="1" applyBorder="1" applyAlignment="1" applyProtection="1">
      <alignment horizontal="center" vertical="center" wrapText="1"/>
      <protection hidden="1"/>
    </xf>
    <xf numFmtId="0" fontId="37" fillId="3" borderId="86" xfId="0" applyFont="1" applyFill="1" applyBorder="1" applyAlignment="1" applyProtection="1">
      <alignment horizontal="center" vertical="center" wrapText="1"/>
      <protection hidden="1"/>
    </xf>
    <xf numFmtId="0" fontId="37" fillId="6" borderId="86" xfId="0" applyFont="1" applyFill="1" applyBorder="1" applyAlignment="1" applyProtection="1">
      <alignment horizontal="center" vertical="center"/>
      <protection hidden="1"/>
    </xf>
    <xf numFmtId="0" fontId="27" fillId="13" borderId="86" xfId="0" applyFont="1" applyFill="1" applyBorder="1" applyAlignment="1" applyProtection="1">
      <alignment horizontal="center" vertical="center"/>
      <protection hidden="1"/>
    </xf>
    <xf numFmtId="0" fontId="27" fillId="15" borderId="86" xfId="0" applyFont="1" applyFill="1" applyBorder="1" applyAlignment="1" applyProtection="1">
      <alignment horizontal="center"/>
      <protection locked="0"/>
    </xf>
    <xf numFmtId="0" fontId="91" fillId="8" borderId="86" xfId="0" applyFont="1" applyFill="1" applyBorder="1" applyProtection="1">
      <protection locked="0"/>
    </xf>
    <xf numFmtId="0" fontId="89" fillId="0" borderId="0" xfId="0" applyFont="1" applyFill="1" applyBorder="1" applyProtection="1">
      <protection locked="0"/>
    </xf>
    <xf numFmtId="0" fontId="89" fillId="0" borderId="0" xfId="0" applyFont="1" applyFill="1" applyBorder="1" applyProtection="1">
      <protection hidden="1"/>
    </xf>
    <xf numFmtId="0" fontId="91" fillId="0" borderId="0" xfId="0" applyFont="1" applyFill="1" applyBorder="1" applyProtection="1">
      <protection locked="0"/>
    </xf>
    <xf numFmtId="0" fontId="91" fillId="33" borderId="83" xfId="9" applyFont="1" applyFill="1" applyBorder="1" applyAlignment="1">
      <alignment horizontal="left" vertical="center" wrapText="1"/>
    </xf>
    <xf numFmtId="0" fontId="65" fillId="0" borderId="4" xfId="0" applyFont="1" applyFill="1" applyBorder="1" applyAlignment="1" applyProtection="1">
      <alignment horizontal="center" vertical="center" wrapText="1"/>
      <protection locked="0"/>
    </xf>
    <xf numFmtId="0" fontId="65" fillId="0" borderId="64" xfId="0" applyFont="1" applyFill="1" applyBorder="1" applyAlignment="1" applyProtection="1">
      <alignment horizontal="center" vertical="center" wrapText="1"/>
      <protection locked="0"/>
    </xf>
    <xf numFmtId="0" fontId="9" fillId="0" borderId="4" xfId="0" applyFont="1" applyFill="1" applyBorder="1" applyAlignment="1" applyProtection="1">
      <alignment horizontal="center" vertical="center" wrapText="1"/>
      <protection locked="0"/>
    </xf>
    <xf numFmtId="0" fontId="65" fillId="0" borderId="5" xfId="0" applyFont="1" applyBorder="1" applyAlignment="1" applyProtection="1">
      <alignment horizontal="center" vertical="center" wrapText="1"/>
      <protection hidden="1"/>
    </xf>
    <xf numFmtId="0" fontId="65" fillId="0" borderId="4" xfId="0" applyFont="1" applyBorder="1" applyAlignment="1" applyProtection="1">
      <alignment horizontal="center" vertical="center" wrapText="1"/>
      <protection hidden="1"/>
    </xf>
    <xf numFmtId="0" fontId="65" fillId="0" borderId="24" xfId="0" applyFont="1" applyBorder="1" applyAlignment="1" applyProtection="1">
      <alignment horizontal="justify" vertical="center" wrapText="1"/>
      <protection locked="0"/>
    </xf>
    <xf numFmtId="0" fontId="9" fillId="0" borderId="5" xfId="0" applyFont="1" applyBorder="1" applyAlignment="1" applyProtection="1">
      <alignment horizontal="center" vertical="center" wrapText="1"/>
      <protection hidden="1"/>
    </xf>
    <xf numFmtId="0" fontId="65" fillId="0" borderId="4" xfId="0" applyFont="1" applyBorder="1" applyAlignment="1" applyProtection="1">
      <alignment horizontal="center" vertical="center" wrapText="1"/>
      <protection locked="0"/>
    </xf>
    <xf numFmtId="0" fontId="65" fillId="0" borderId="64" xfId="0" applyFont="1" applyBorder="1" applyAlignment="1" applyProtection="1">
      <alignment horizontal="center" vertical="center" wrapText="1"/>
      <protection locked="0"/>
    </xf>
    <xf numFmtId="0" fontId="98" fillId="11" borderId="22" xfId="0" applyFont="1" applyFill="1" applyBorder="1" applyAlignment="1" applyProtection="1">
      <alignment horizontal="center" vertical="center" wrapText="1"/>
      <protection hidden="1"/>
    </xf>
    <xf numFmtId="0" fontId="99" fillId="3" borderId="22" xfId="0" applyFont="1" applyFill="1" applyBorder="1" applyAlignment="1" applyProtection="1">
      <alignment horizontal="center" vertical="center" wrapText="1"/>
      <protection hidden="1"/>
    </xf>
    <xf numFmtId="0" fontId="98" fillId="6" borderId="22" xfId="0" applyFont="1" applyFill="1" applyBorder="1" applyAlignment="1" applyProtection="1">
      <alignment horizontal="center" vertical="center"/>
      <protection hidden="1"/>
    </xf>
    <xf numFmtId="0" fontId="98" fillId="13" borderId="22" xfId="0" applyFont="1" applyFill="1" applyBorder="1" applyAlignment="1" applyProtection="1">
      <alignment horizontal="center" vertical="center"/>
      <protection hidden="1"/>
    </xf>
    <xf numFmtId="0" fontId="77" fillId="0" borderId="0" xfId="0" applyFont="1" applyBorder="1" applyAlignment="1">
      <alignment horizontal="center"/>
    </xf>
    <xf numFmtId="0" fontId="81" fillId="0" borderId="0" xfId="0" applyFont="1" applyBorder="1" applyAlignment="1">
      <alignment horizontal="center" vertical="center" wrapText="1"/>
    </xf>
    <xf numFmtId="0" fontId="82" fillId="8" borderId="0" xfId="0" applyFont="1" applyFill="1" applyBorder="1" applyProtection="1">
      <protection locked="0"/>
    </xf>
    <xf numFmtId="0" fontId="82" fillId="8" borderId="0" xfId="0" applyFont="1" applyFill="1" applyBorder="1" applyAlignment="1" applyProtection="1">
      <alignment horizontal="center" wrapText="1"/>
      <protection locked="0"/>
    </xf>
    <xf numFmtId="14" fontId="80" fillId="0" borderId="0" xfId="0" applyNumberFormat="1" applyFont="1" applyBorder="1" applyAlignment="1">
      <alignment horizontal="center" vertical="center" wrapText="1"/>
    </xf>
    <xf numFmtId="0" fontId="100" fillId="30" borderId="17" xfId="0" applyFont="1" applyFill="1" applyBorder="1" applyAlignment="1" applyProtection="1">
      <alignment horizontal="center" vertical="center" wrapText="1"/>
    </xf>
    <xf numFmtId="0" fontId="88" fillId="28" borderId="83" xfId="0" applyFont="1" applyFill="1" applyBorder="1" applyAlignment="1">
      <alignment horizontal="center" vertical="center" wrapText="1"/>
    </xf>
    <xf numFmtId="0" fontId="91" fillId="28" borderId="83" xfId="0" applyFont="1" applyFill="1" applyBorder="1" applyAlignment="1">
      <alignment horizontal="center" vertical="center" wrapText="1"/>
    </xf>
    <xf numFmtId="0" fontId="91" fillId="0" borderId="83" xfId="0" applyFont="1" applyBorder="1" applyAlignment="1">
      <alignment horizontal="center" vertical="center" wrapText="1"/>
    </xf>
    <xf numFmtId="0" fontId="91" fillId="0" borderId="83" xfId="0" applyFont="1" applyBorder="1" applyAlignment="1">
      <alignment horizontal="center" vertical="center"/>
    </xf>
    <xf numFmtId="0" fontId="91" fillId="0" borderId="83" xfId="0" applyFont="1" applyBorder="1" applyAlignment="1">
      <alignment vertical="center" wrapText="1"/>
    </xf>
    <xf numFmtId="0" fontId="91" fillId="0" borderId="83" xfId="9" applyFont="1" applyBorder="1" applyAlignment="1">
      <alignment horizontal="center" vertical="center" wrapText="1"/>
    </xf>
    <xf numFmtId="0" fontId="91" fillId="0" borderId="83" xfId="0" applyFont="1" applyFill="1" applyBorder="1" applyAlignment="1">
      <alignment vertical="center" wrapText="1"/>
    </xf>
    <xf numFmtId="0" fontId="91" fillId="0" borderId="83" xfId="0" applyFont="1" applyBorder="1" applyAlignment="1">
      <alignment horizontal="left" vertical="center" wrapText="1"/>
    </xf>
    <xf numFmtId="0" fontId="91" fillId="33" borderId="83" xfId="9" applyFont="1" applyFill="1" applyBorder="1" applyAlignment="1">
      <alignment horizontal="center" vertical="center" wrapText="1"/>
    </xf>
    <xf numFmtId="0" fontId="91" fillId="33" borderId="83" xfId="9" applyFont="1" applyFill="1" applyBorder="1" applyAlignment="1">
      <alignment horizontal="center" vertical="center"/>
    </xf>
    <xf numFmtId="0" fontId="91" fillId="0" borderId="83" xfId="0" applyFont="1" applyBorder="1" applyAlignment="1">
      <alignment vertical="center"/>
    </xf>
    <xf numFmtId="0" fontId="91" fillId="0" borderId="83" xfId="9" applyFont="1" applyBorder="1" applyAlignment="1">
      <alignment horizontal="center" vertical="center"/>
    </xf>
    <xf numFmtId="0" fontId="91" fillId="0" borderId="83" xfId="9" applyFont="1" applyBorder="1" applyAlignment="1">
      <alignment horizontal="left" vertical="center" wrapText="1"/>
    </xf>
    <xf numFmtId="0" fontId="91" fillId="0" borderId="64" xfId="0" applyFont="1" applyBorder="1" applyAlignment="1">
      <alignment horizontal="justify" vertical="center" wrapText="1"/>
    </xf>
    <xf numFmtId="0" fontId="91" fillId="0" borderId="17" xfId="0" applyFont="1" applyBorder="1" applyAlignment="1">
      <alignment horizontal="justify" vertical="center" wrapText="1"/>
    </xf>
    <xf numFmtId="0" fontId="92" fillId="0" borderId="0" xfId="0" applyFont="1" applyFill="1" applyBorder="1" applyAlignment="1">
      <alignment horizontal="center" vertical="center" wrapText="1"/>
    </xf>
    <xf numFmtId="0" fontId="89" fillId="0" borderId="0" xfId="0" applyFont="1" applyFill="1" applyBorder="1" applyAlignment="1">
      <alignment vertical="center" wrapText="1"/>
    </xf>
    <xf numFmtId="0" fontId="92" fillId="0" borderId="0" xfId="0" applyFont="1" applyFill="1" applyBorder="1" applyAlignment="1">
      <alignment vertical="center" wrapText="1"/>
    </xf>
    <xf numFmtId="0" fontId="27" fillId="28" borderId="11" xfId="0" applyFont="1" applyFill="1" applyBorder="1" applyAlignment="1">
      <alignment horizontal="center" vertical="center" wrapText="1"/>
    </xf>
    <xf numFmtId="0" fontId="89" fillId="0" borderId="0" xfId="0" applyFont="1" applyAlignment="1">
      <alignment vertical="center" wrapText="1"/>
    </xf>
    <xf numFmtId="0" fontId="27" fillId="28" borderId="14" xfId="0" applyFont="1" applyFill="1" applyBorder="1" applyAlignment="1">
      <alignment horizontal="center" vertical="center" wrapText="1"/>
    </xf>
    <xf numFmtId="0" fontId="89" fillId="0" borderId="0" xfId="0" applyFont="1" applyFill="1" applyBorder="1" applyAlignment="1">
      <alignment horizontal="justify" vertical="center" wrapText="1"/>
    </xf>
    <xf numFmtId="0" fontId="27" fillId="28" borderId="81" xfId="0" applyFont="1" applyFill="1" applyBorder="1" applyAlignment="1">
      <alignment horizontal="center" vertical="center" wrapText="1"/>
    </xf>
    <xf numFmtId="0" fontId="27" fillId="28" borderId="16" xfId="0" applyFont="1" applyFill="1" applyBorder="1" applyAlignment="1">
      <alignment horizontal="center" vertical="center" wrapText="1"/>
    </xf>
    <xf numFmtId="0" fontId="89" fillId="0" borderId="0" xfId="0" applyFont="1" applyAlignment="1">
      <alignment horizontal="center" vertical="center" wrapText="1"/>
    </xf>
    <xf numFmtId="0" fontId="89" fillId="0" borderId="0" xfId="0" applyFont="1" applyFill="1" applyAlignment="1">
      <alignment vertical="center" wrapText="1"/>
    </xf>
    <xf numFmtId="0" fontId="27" fillId="28" borderId="25" xfId="0" applyFont="1" applyFill="1" applyBorder="1" applyAlignment="1">
      <alignment horizontal="center" vertical="center" wrapText="1"/>
    </xf>
    <xf numFmtId="0" fontId="27" fillId="28" borderId="26" xfId="0" applyFont="1" applyFill="1" applyBorder="1" applyAlignment="1">
      <alignment horizontal="center" vertical="center" wrapText="1"/>
    </xf>
    <xf numFmtId="0" fontId="89" fillId="0" borderId="0" xfId="0" applyFont="1" applyFill="1" applyBorder="1" applyAlignment="1">
      <alignment horizontal="center" vertical="center" wrapText="1"/>
    </xf>
    <xf numFmtId="0" fontId="27" fillId="28" borderId="27" xfId="0" applyFont="1" applyFill="1" applyBorder="1" applyAlignment="1">
      <alignment horizontal="center" vertical="center" wrapText="1"/>
    </xf>
    <xf numFmtId="0" fontId="27" fillId="28" borderId="12" xfId="0" applyFont="1" applyFill="1" applyBorder="1" applyAlignment="1">
      <alignment horizontal="center" vertical="center" wrapText="1"/>
    </xf>
    <xf numFmtId="0" fontId="89" fillId="0" borderId="4" xfId="0" applyFont="1" applyFill="1" applyBorder="1" applyAlignment="1">
      <alignment horizontal="center" vertical="center" wrapText="1"/>
    </xf>
    <xf numFmtId="0" fontId="89" fillId="0" borderId="4" xfId="0" applyFont="1" applyBorder="1" applyAlignment="1">
      <alignment horizontal="justify" vertical="center" wrapText="1"/>
    </xf>
    <xf numFmtId="0" fontId="89" fillId="0" borderId="15" xfId="0" applyFont="1" applyBorder="1" applyAlignment="1">
      <alignment vertical="center" wrapText="1"/>
    </xf>
    <xf numFmtId="0" fontId="91" fillId="9" borderId="64" xfId="0" applyFont="1" applyFill="1" applyBorder="1" applyAlignment="1">
      <alignment horizontal="center" vertical="center" wrapText="1"/>
    </xf>
    <xf numFmtId="0" fontId="91" fillId="0" borderId="15" xfId="0" applyFont="1" applyBorder="1" applyAlignment="1">
      <alignment vertical="center" wrapText="1"/>
    </xf>
    <xf numFmtId="0" fontId="90" fillId="6" borderId="4" xfId="0" applyFont="1" applyFill="1" applyBorder="1" applyAlignment="1">
      <alignment horizontal="center" vertical="center" wrapText="1"/>
    </xf>
    <xf numFmtId="0" fontId="91" fillId="10" borderId="64" xfId="0" applyFont="1" applyFill="1" applyBorder="1" applyAlignment="1">
      <alignment horizontal="center" vertical="center" wrapText="1"/>
    </xf>
    <xf numFmtId="0" fontId="90" fillId="5" borderId="4" xfId="0" applyFont="1" applyFill="1" applyBorder="1" applyAlignment="1">
      <alignment horizontal="center" vertical="center" wrapText="1"/>
    </xf>
    <xf numFmtId="0" fontId="91" fillId="5" borderId="64" xfId="0" applyFont="1" applyFill="1" applyBorder="1" applyAlignment="1">
      <alignment horizontal="center" vertical="center" wrapText="1"/>
    </xf>
    <xf numFmtId="0" fontId="89" fillId="3" borderId="4" xfId="0" applyFont="1" applyFill="1" applyBorder="1" applyAlignment="1">
      <alignment horizontal="center" vertical="center" wrapText="1"/>
    </xf>
    <xf numFmtId="0" fontId="27" fillId="28" borderId="16" xfId="0" applyFont="1" applyFill="1" applyBorder="1" applyAlignment="1">
      <alignment vertical="center" wrapText="1"/>
    </xf>
    <xf numFmtId="0" fontId="91" fillId="6" borderId="17" xfId="0" applyFont="1" applyFill="1" applyBorder="1" applyAlignment="1">
      <alignment vertical="center" wrapText="1"/>
    </xf>
    <xf numFmtId="0" fontId="91" fillId="0" borderId="18" xfId="0" applyFont="1" applyBorder="1" applyAlignment="1">
      <alignment vertical="center" wrapText="1"/>
    </xf>
    <xf numFmtId="0" fontId="90" fillId="4" borderId="17" xfId="0" applyFont="1" applyFill="1" applyBorder="1" applyAlignment="1">
      <alignment horizontal="center" vertical="center" wrapText="1"/>
    </xf>
    <xf numFmtId="0" fontId="89" fillId="0" borderId="17" xfId="0" applyFont="1" applyBorder="1" applyAlignment="1">
      <alignment horizontal="justify" vertical="center" wrapText="1"/>
    </xf>
    <xf numFmtId="0" fontId="89" fillId="0" borderId="18" xfId="0" applyFont="1" applyBorder="1" applyAlignment="1">
      <alignment vertical="center" wrapText="1"/>
    </xf>
    <xf numFmtId="0" fontId="27" fillId="0" borderId="0" xfId="0" applyFont="1" applyFill="1" applyBorder="1" applyAlignment="1">
      <alignment vertical="center" wrapText="1"/>
    </xf>
    <xf numFmtId="0" fontId="91" fillId="0" borderId="0" xfId="0" applyFont="1" applyFill="1" applyBorder="1" applyAlignment="1">
      <alignment vertical="center" wrapText="1"/>
    </xf>
    <xf numFmtId="0" fontId="53" fillId="0" borderId="14" xfId="0" applyFont="1" applyFill="1" applyBorder="1" applyAlignment="1" applyProtection="1">
      <alignment horizontal="center" vertical="center" wrapText="1"/>
      <protection locked="0"/>
    </xf>
    <xf numFmtId="0" fontId="94" fillId="0" borderId="4" xfId="0" applyFont="1" applyFill="1" applyBorder="1" applyAlignment="1" applyProtection="1">
      <alignment horizontal="justify" vertical="center" wrapText="1"/>
      <protection locked="0"/>
    </xf>
    <xf numFmtId="0" fontId="53" fillId="0" borderId="4" xfId="0" applyFont="1" applyFill="1" applyBorder="1" applyAlignment="1" applyProtection="1">
      <alignment horizontal="center" vertical="center" wrapText="1"/>
      <protection locked="0"/>
    </xf>
    <xf numFmtId="14" fontId="41" fillId="0" borderId="0" xfId="6" applyNumberFormat="1" applyFont="1" applyFill="1" applyBorder="1" applyAlignment="1" applyProtection="1">
      <alignment horizontal="center" vertical="center"/>
      <protection locked="0"/>
    </xf>
    <xf numFmtId="49" fontId="41" fillId="0" borderId="0" xfId="6" applyNumberFormat="1" applyFont="1" applyFill="1" applyBorder="1" applyAlignment="1" applyProtection="1">
      <alignment horizontal="center" vertical="center" shrinkToFit="1"/>
      <protection locked="0"/>
    </xf>
    <xf numFmtId="0" fontId="27" fillId="0" borderId="0" xfId="7" applyFont="1" applyFill="1" applyBorder="1" applyAlignment="1">
      <alignment horizontal="center" vertical="center"/>
    </xf>
    <xf numFmtId="0" fontId="86" fillId="0" borderId="0" xfId="8" applyFont="1" applyFill="1" applyBorder="1" applyAlignment="1" applyProtection="1">
      <alignment horizontal="center" vertical="center" wrapText="1"/>
    </xf>
    <xf numFmtId="0" fontId="87" fillId="0" borderId="0" xfId="8" applyFont="1" applyFill="1" applyBorder="1" applyAlignment="1" applyProtection="1">
      <alignment horizontal="center" vertical="center" wrapText="1"/>
    </xf>
    <xf numFmtId="0" fontId="41" fillId="0" borderId="0" xfId="6" applyNumberFormat="1" applyFont="1" applyFill="1" applyBorder="1" applyAlignment="1" applyProtection="1">
      <alignment horizontal="center" shrinkToFit="1"/>
      <protection locked="0"/>
    </xf>
    <xf numFmtId="0" fontId="42" fillId="0" borderId="0" xfId="8" applyFont="1" applyFill="1" applyBorder="1" applyAlignment="1" applyProtection="1">
      <alignment horizontal="left" vertical="center"/>
    </xf>
    <xf numFmtId="0" fontId="87" fillId="0" borderId="0" xfId="0" applyFont="1" applyFill="1" applyBorder="1" applyAlignment="1">
      <alignment horizontal="center" vertical="center" wrapText="1"/>
    </xf>
    <xf numFmtId="0" fontId="87" fillId="0" borderId="0" xfId="8" applyFont="1" applyFill="1" applyBorder="1" applyAlignment="1" applyProtection="1">
      <alignment horizontal="center" vertical="center"/>
    </xf>
    <xf numFmtId="0" fontId="37" fillId="29" borderId="54" xfId="7" applyFont="1" applyFill="1" applyBorder="1">
      <alignment horizontal="center" vertical="center"/>
    </xf>
    <xf numFmtId="0" fontId="13" fillId="30" borderId="1" xfId="0" applyFont="1" applyFill="1" applyBorder="1" applyAlignment="1">
      <alignment horizontal="center" vertical="center" wrapText="1"/>
    </xf>
    <xf numFmtId="0" fontId="65" fillId="0" borderId="1" xfId="0" applyFont="1" applyBorder="1" applyAlignment="1">
      <alignment horizontal="center" vertical="center" wrapText="1"/>
    </xf>
    <xf numFmtId="0" fontId="15" fillId="29" borderId="0" xfId="7" applyFont="1" applyFill="1" applyBorder="1">
      <alignment horizontal="center" vertical="center"/>
    </xf>
    <xf numFmtId="0" fontId="15" fillId="29" borderId="53" xfId="7" applyFont="1" applyFill="1" applyBorder="1">
      <alignment horizontal="center" vertical="center"/>
    </xf>
    <xf numFmtId="0" fontId="14" fillId="0" borderId="65" xfId="0" applyFont="1" applyBorder="1" applyAlignment="1">
      <alignment horizontal="center"/>
    </xf>
    <xf numFmtId="0" fontId="66" fillId="0" borderId="65" xfId="0" applyFont="1" applyBorder="1" applyAlignment="1">
      <alignment horizontal="center" vertical="center" wrapText="1"/>
    </xf>
    <xf numFmtId="0" fontId="55" fillId="0" borderId="65" xfId="0" applyFont="1" applyBorder="1" applyAlignment="1">
      <alignment horizontal="center" vertical="center" wrapText="1"/>
    </xf>
    <xf numFmtId="0" fontId="67" fillId="0" borderId="65" xfId="0" applyFont="1" applyBorder="1" applyAlignment="1">
      <alignment horizontal="center" vertical="center" wrapText="1"/>
    </xf>
    <xf numFmtId="0" fontId="56" fillId="0" borderId="65" xfId="0" applyFont="1" applyBorder="1" applyAlignment="1">
      <alignment horizontal="center" vertical="center" wrapText="1"/>
    </xf>
    <xf numFmtId="14" fontId="67" fillId="0" borderId="65" xfId="0" applyNumberFormat="1" applyFont="1" applyBorder="1" applyAlignment="1">
      <alignment horizontal="center" vertical="center" wrapText="1"/>
    </xf>
    <xf numFmtId="0" fontId="54" fillId="30" borderId="1" xfId="0" applyFont="1" applyFill="1" applyBorder="1" applyAlignment="1">
      <alignment horizontal="center" vertical="center" wrapText="1"/>
    </xf>
    <xf numFmtId="0" fontId="65" fillId="0" borderId="1" xfId="0" applyFont="1" applyBorder="1" applyAlignment="1">
      <alignment horizontal="center"/>
    </xf>
    <xf numFmtId="0" fontId="27" fillId="29" borderId="0" xfId="7" applyFont="1" applyFill="1" applyBorder="1" applyAlignment="1">
      <alignment horizontal="center" vertical="center"/>
    </xf>
    <xf numFmtId="0" fontId="38" fillId="0" borderId="0" xfId="6" applyFont="1" applyFill="1" applyBorder="1" applyAlignment="1" applyProtection="1">
      <alignment horizontal="justify" vertical="center" wrapText="1"/>
    </xf>
    <xf numFmtId="0" fontId="38" fillId="0" borderId="0" xfId="6" applyFont="1" applyFill="1" applyBorder="1" applyAlignment="1" applyProtection="1">
      <alignment horizontal="justify" vertical="center"/>
    </xf>
    <xf numFmtId="0" fontId="45" fillId="0" borderId="0" xfId="6" applyFont="1" applyFill="1" applyBorder="1" applyAlignment="1" applyProtection="1">
      <alignment horizontal="right" vertical="center" wrapText="1"/>
    </xf>
    <xf numFmtId="0" fontId="36" fillId="0" borderId="56" xfId="6" applyFont="1" applyFill="1" applyBorder="1" applyAlignment="1" applyProtection="1">
      <alignment horizontal="center" vertical="center"/>
    </xf>
    <xf numFmtId="0" fontId="36" fillId="0" borderId="57" xfId="6" applyFont="1" applyFill="1" applyBorder="1" applyAlignment="1" applyProtection="1">
      <alignment horizontal="center" vertical="center"/>
    </xf>
    <xf numFmtId="0" fontId="36" fillId="0" borderId="58" xfId="6" applyFont="1" applyFill="1" applyBorder="1" applyAlignment="1" applyProtection="1">
      <alignment horizontal="center" vertical="center"/>
    </xf>
    <xf numFmtId="0" fontId="36" fillId="0" borderId="59" xfId="6" applyFont="1" applyFill="1" applyBorder="1" applyAlignment="1" applyProtection="1">
      <alignment horizontal="center" vertical="center"/>
    </xf>
    <xf numFmtId="0" fontId="36" fillId="0" borderId="0" xfId="6" applyFont="1" applyFill="1" applyBorder="1" applyAlignment="1" applyProtection="1">
      <alignment horizontal="center" vertical="center"/>
    </xf>
    <xf numFmtId="0" fontId="36" fillId="0" borderId="60" xfId="6" applyFont="1" applyFill="1" applyBorder="1" applyAlignment="1" applyProtection="1">
      <alignment horizontal="center" vertical="center"/>
    </xf>
    <xf numFmtId="0" fontId="36" fillId="0" borderId="61" xfId="6" applyFont="1" applyFill="1" applyBorder="1" applyAlignment="1" applyProtection="1">
      <alignment horizontal="center" vertical="center"/>
    </xf>
    <xf numFmtId="0" fontId="36" fillId="0" borderId="62" xfId="6" applyFont="1" applyFill="1" applyBorder="1" applyAlignment="1" applyProtection="1">
      <alignment horizontal="center" vertical="center"/>
    </xf>
    <xf numFmtId="0" fontId="36" fillId="0" borderId="63" xfId="6" applyFont="1" applyFill="1" applyBorder="1" applyAlignment="1" applyProtection="1">
      <alignment horizontal="center" vertical="center"/>
    </xf>
    <xf numFmtId="0" fontId="28" fillId="0" borderId="0" xfId="6" applyFont="1" applyFill="1" applyBorder="1" applyAlignment="1" applyProtection="1">
      <alignment horizontal="right" vertical="center" wrapText="1"/>
    </xf>
    <xf numFmtId="0" fontId="28" fillId="0" borderId="60" xfId="6" applyFont="1" applyFill="1" applyBorder="1" applyAlignment="1" applyProtection="1">
      <alignment horizontal="right" vertical="center" wrapText="1"/>
    </xf>
    <xf numFmtId="0" fontId="27" fillId="28" borderId="0" xfId="6" applyFont="1" applyFill="1" applyBorder="1" applyAlignment="1" applyProtection="1">
      <alignment horizontal="center" vertical="center" wrapText="1"/>
    </xf>
    <xf numFmtId="0" fontId="27" fillId="28" borderId="0" xfId="6" applyFont="1" applyFill="1" applyBorder="1" applyAlignment="1" applyProtection="1">
      <alignment horizontal="center" vertical="center"/>
    </xf>
    <xf numFmtId="0" fontId="41" fillId="0" borderId="0" xfId="6" applyFont="1" applyFill="1" applyBorder="1" applyAlignment="1" applyProtection="1">
      <alignment horizontal="right"/>
    </xf>
    <xf numFmtId="0" fontId="38" fillId="0" borderId="65" xfId="0" applyFont="1" applyBorder="1" applyAlignment="1">
      <alignment horizontal="center" vertical="center" wrapText="1"/>
    </xf>
    <xf numFmtId="0" fontId="69" fillId="0" borderId="65" xfId="0" applyFont="1" applyBorder="1" applyAlignment="1">
      <alignment horizontal="center" vertical="center" wrapText="1"/>
    </xf>
    <xf numFmtId="0" fontId="68" fillId="0" borderId="65" xfId="0" applyFont="1" applyBorder="1" applyAlignment="1">
      <alignment horizontal="center" vertical="center" wrapText="1"/>
    </xf>
    <xf numFmtId="0" fontId="70" fillId="0" borderId="65" xfId="0" applyFont="1" applyBorder="1" applyAlignment="1">
      <alignment horizontal="center" vertical="center" wrapText="1"/>
    </xf>
    <xf numFmtId="0" fontId="71" fillId="0" borderId="65" xfId="0" applyFont="1" applyBorder="1" applyAlignment="1">
      <alignment horizontal="center" vertical="center" wrapText="1"/>
    </xf>
    <xf numFmtId="14" fontId="70" fillId="0" borderId="65" xfId="0" applyNumberFormat="1" applyFont="1" applyBorder="1" applyAlignment="1">
      <alignment horizontal="center" vertical="center" wrapText="1"/>
    </xf>
    <xf numFmtId="0" fontId="61" fillId="0" borderId="99" xfId="6" applyFont="1" applyFill="1" applyBorder="1" applyAlignment="1" applyProtection="1">
      <alignment horizontal="center" vertical="center" wrapText="1"/>
    </xf>
    <xf numFmtId="0" fontId="61" fillId="0" borderId="100" xfId="6" applyFont="1" applyFill="1" applyBorder="1" applyAlignment="1" applyProtection="1">
      <alignment horizontal="center" vertical="center" wrapText="1"/>
    </xf>
    <xf numFmtId="0" fontId="61" fillId="0" borderId="101" xfId="6" applyFont="1" applyFill="1" applyBorder="1" applyAlignment="1" applyProtection="1">
      <alignment horizontal="center" vertical="center" wrapText="1"/>
    </xf>
    <xf numFmtId="0" fontId="71" fillId="0" borderId="94" xfId="6" applyFont="1" applyFill="1" applyBorder="1" applyAlignment="1" applyProtection="1">
      <alignment horizontal="center" vertical="center" wrapText="1"/>
    </xf>
    <xf numFmtId="0" fontId="71" fillId="0" borderId="95" xfId="6" applyFont="1" applyFill="1" applyBorder="1" applyAlignment="1" applyProtection="1">
      <alignment horizontal="center" vertical="center" wrapText="1"/>
    </xf>
    <xf numFmtId="0" fontId="71" fillId="0" borderId="97" xfId="6" applyFont="1" applyFill="1" applyBorder="1" applyAlignment="1" applyProtection="1">
      <alignment horizontal="center" vertical="center" wrapText="1"/>
    </xf>
    <xf numFmtId="0" fontId="71" fillId="0" borderId="0" xfId="6" applyFont="1" applyFill="1" applyBorder="1" applyAlignment="1" applyProtection="1">
      <alignment horizontal="center" vertical="center" wrapText="1"/>
    </xf>
    <xf numFmtId="49" fontId="71" fillId="0" borderId="95" xfId="6" applyNumberFormat="1" applyFont="1" applyFill="1" applyBorder="1" applyAlignment="1" applyProtection="1">
      <alignment horizontal="center" vertical="center"/>
    </xf>
    <xf numFmtId="49" fontId="71" fillId="0" borderId="96" xfId="6" applyNumberFormat="1" applyFont="1" applyFill="1" applyBorder="1" applyAlignment="1" applyProtection="1">
      <alignment horizontal="center" vertical="center"/>
    </xf>
    <xf numFmtId="49" fontId="71" fillId="0" borderId="0" xfId="6" applyNumberFormat="1" applyFont="1" applyFill="1" applyBorder="1" applyAlignment="1" applyProtection="1">
      <alignment horizontal="center" vertical="center"/>
    </xf>
    <xf numFmtId="49" fontId="71" fillId="0" borderId="98" xfId="6" applyNumberFormat="1" applyFont="1" applyFill="1" applyBorder="1" applyAlignment="1" applyProtection="1">
      <alignment horizontal="center" vertical="center"/>
    </xf>
    <xf numFmtId="0" fontId="71" fillId="0" borderId="95" xfId="6" applyFont="1" applyFill="1" applyBorder="1" applyAlignment="1" applyProtection="1">
      <alignment horizontal="center" vertical="center"/>
    </xf>
    <xf numFmtId="0" fontId="71" fillId="0" borderId="0" xfId="6" applyFont="1" applyFill="1" applyBorder="1" applyAlignment="1" applyProtection="1">
      <alignment horizontal="center" vertical="center"/>
    </xf>
    <xf numFmtId="0" fontId="71" fillId="0" borderId="96" xfId="6" applyNumberFormat="1" applyFont="1" applyFill="1" applyBorder="1" applyAlignment="1" applyProtection="1">
      <alignment horizontal="center" vertical="center"/>
    </xf>
    <xf numFmtId="0" fontId="71" fillId="0" borderId="0" xfId="6" applyNumberFormat="1" applyFont="1" applyFill="1" applyBorder="1" applyAlignment="1" applyProtection="1">
      <alignment horizontal="center" vertical="center"/>
    </xf>
    <xf numFmtId="0" fontId="71" fillId="0" borderId="98" xfId="6" applyNumberFormat="1" applyFont="1" applyFill="1" applyBorder="1" applyAlignment="1" applyProtection="1">
      <alignment horizontal="center" vertical="center"/>
    </xf>
    <xf numFmtId="1" fontId="71" fillId="0" borderId="95" xfId="6" applyNumberFormat="1" applyFont="1" applyFill="1" applyBorder="1" applyAlignment="1" applyProtection="1">
      <alignment horizontal="center" vertical="center"/>
    </xf>
    <xf numFmtId="1" fontId="71" fillId="0" borderId="96" xfId="6" applyNumberFormat="1" applyFont="1" applyFill="1" applyBorder="1" applyAlignment="1" applyProtection="1">
      <alignment horizontal="center" vertical="center"/>
    </xf>
    <xf numFmtId="1" fontId="71" fillId="0" borderId="0" xfId="6" applyNumberFormat="1" applyFont="1" applyFill="1" applyBorder="1" applyAlignment="1" applyProtection="1">
      <alignment horizontal="center" vertical="center"/>
    </xf>
    <xf numFmtId="1" fontId="71" fillId="0" borderId="98" xfId="6" applyNumberFormat="1" applyFont="1" applyFill="1" applyBorder="1" applyAlignment="1" applyProtection="1">
      <alignment horizontal="center" vertical="center"/>
    </xf>
    <xf numFmtId="0" fontId="61" fillId="0" borderId="97" xfId="6" applyFont="1" applyFill="1" applyBorder="1" applyAlignment="1" applyProtection="1">
      <alignment horizontal="center" vertical="center" wrapText="1"/>
    </xf>
    <xf numFmtId="0" fontId="61" fillId="0" borderId="0" xfId="6" applyFont="1" applyFill="1" applyBorder="1" applyAlignment="1" applyProtection="1">
      <alignment horizontal="center" vertical="center" wrapText="1"/>
    </xf>
    <xf numFmtId="0" fontId="61" fillId="0" borderId="98" xfId="6" applyFont="1" applyFill="1" applyBorder="1" applyAlignment="1" applyProtection="1">
      <alignment horizontal="center" vertical="center" wrapText="1"/>
    </xf>
    <xf numFmtId="0" fontId="14" fillId="0" borderId="69" xfId="0" applyFont="1" applyBorder="1" applyAlignment="1">
      <alignment horizontal="center"/>
    </xf>
    <xf numFmtId="0" fontId="14" fillId="0" borderId="70" xfId="0" applyFont="1" applyBorder="1" applyAlignment="1">
      <alignment horizontal="center"/>
    </xf>
    <xf numFmtId="0" fontId="14" fillId="0" borderId="71" xfId="0" applyFont="1" applyBorder="1" applyAlignment="1">
      <alignment horizontal="center"/>
    </xf>
    <xf numFmtId="0" fontId="38" fillId="0" borderId="66" xfId="0" applyFont="1" applyBorder="1" applyAlignment="1">
      <alignment horizontal="center" vertical="center" wrapText="1"/>
    </xf>
    <xf numFmtId="0" fontId="38" fillId="0" borderId="67" xfId="0" applyFont="1" applyBorder="1" applyAlignment="1">
      <alignment horizontal="center" vertical="center" wrapText="1"/>
    </xf>
    <xf numFmtId="0" fontId="38" fillId="0" borderId="68" xfId="0" applyFont="1" applyBorder="1" applyAlignment="1">
      <alignment horizontal="center" vertical="center" wrapText="1"/>
    </xf>
    <xf numFmtId="0" fontId="68" fillId="0" borderId="66" xfId="0" applyFont="1" applyBorder="1" applyAlignment="1">
      <alignment horizontal="center" vertical="center" wrapText="1"/>
    </xf>
    <xf numFmtId="0" fontId="68" fillId="0" borderId="67" xfId="0" applyFont="1" applyBorder="1" applyAlignment="1">
      <alignment horizontal="center" vertical="center" wrapText="1"/>
    </xf>
    <xf numFmtId="0" fontId="68" fillId="0" borderId="68" xfId="0" applyFont="1" applyBorder="1" applyAlignment="1">
      <alignment horizontal="center" vertical="center" wrapText="1"/>
    </xf>
    <xf numFmtId="0" fontId="71" fillId="0" borderId="66" xfId="0" applyFont="1" applyBorder="1" applyAlignment="1">
      <alignment horizontal="center" vertical="center" wrapText="1"/>
    </xf>
    <xf numFmtId="0" fontId="71" fillId="0" borderId="67" xfId="0" applyFont="1" applyBorder="1" applyAlignment="1">
      <alignment horizontal="center" vertical="center" wrapText="1"/>
    </xf>
    <xf numFmtId="0" fontId="71" fillId="0" borderId="68" xfId="0" applyFont="1" applyBorder="1" applyAlignment="1">
      <alignment horizontal="center" vertical="center" wrapText="1"/>
    </xf>
    <xf numFmtId="0" fontId="71" fillId="0" borderId="94" xfId="6" applyFont="1" applyFill="1" applyBorder="1" applyAlignment="1">
      <alignment horizontal="center" vertical="center" wrapText="1"/>
    </xf>
    <xf numFmtId="0" fontId="71" fillId="0" borderId="95" xfId="6" applyFont="1" applyFill="1" applyBorder="1" applyAlignment="1">
      <alignment horizontal="center" vertical="center" wrapText="1"/>
    </xf>
    <xf numFmtId="0" fontId="71" fillId="0" borderId="97" xfId="6" applyFont="1" applyFill="1" applyBorder="1" applyAlignment="1">
      <alignment horizontal="center" vertical="center" wrapText="1"/>
    </xf>
    <xf numFmtId="0" fontId="71" fillId="0" borderId="0" xfId="6" applyFont="1" applyFill="1" applyBorder="1" applyAlignment="1">
      <alignment horizontal="center" vertical="center" wrapText="1"/>
    </xf>
    <xf numFmtId="0" fontId="71" fillId="0" borderId="102" xfId="5" applyFont="1" applyFill="1" applyBorder="1" applyAlignment="1">
      <alignment horizontal="center" vertical="center"/>
    </xf>
    <xf numFmtId="0" fontId="71" fillId="0" borderId="103" xfId="5" applyFont="1" applyFill="1" applyBorder="1" applyAlignment="1">
      <alignment horizontal="center" vertical="center"/>
    </xf>
    <xf numFmtId="0" fontId="71" fillId="0" borderId="104" xfId="5" applyFont="1" applyFill="1" applyBorder="1" applyAlignment="1">
      <alignment horizontal="center" vertical="center"/>
    </xf>
    <xf numFmtId="0" fontId="71" fillId="0" borderId="64" xfId="5" applyFont="1" applyFill="1" applyBorder="1" applyAlignment="1">
      <alignment horizontal="center" vertical="center"/>
    </xf>
    <xf numFmtId="0" fontId="69" fillId="0" borderId="105" xfId="6" applyFont="1" applyFill="1" applyBorder="1" applyAlignment="1" applyProtection="1">
      <alignment horizontal="center" vertical="center" wrapText="1"/>
    </xf>
    <xf numFmtId="0" fontId="69" fillId="0" borderId="106" xfId="6" applyFont="1" applyFill="1" applyBorder="1" applyAlignment="1" applyProtection="1">
      <alignment horizontal="center" vertical="center" wrapText="1"/>
    </xf>
    <xf numFmtId="0" fontId="69" fillId="0" borderId="107" xfId="6" applyFont="1" applyFill="1" applyBorder="1" applyAlignment="1" applyProtection="1">
      <alignment horizontal="center" vertical="center" wrapText="1"/>
    </xf>
    <xf numFmtId="0" fontId="69" fillId="0" borderId="108" xfId="6" applyFont="1" applyFill="1" applyBorder="1" applyAlignment="1" applyProtection="1">
      <alignment horizontal="center" vertical="center" wrapText="1"/>
    </xf>
    <xf numFmtId="0" fontId="69" fillId="0" borderId="0" xfId="6" applyFont="1" applyFill="1" applyBorder="1" applyAlignment="1" applyProtection="1">
      <alignment horizontal="center" vertical="center" wrapText="1"/>
    </xf>
    <xf numFmtId="0" fontId="69" fillId="0" borderId="109" xfId="6" applyFont="1" applyFill="1" applyBorder="1" applyAlignment="1" applyProtection="1">
      <alignment horizontal="center" vertical="center" wrapText="1"/>
    </xf>
    <xf numFmtId="0" fontId="69" fillId="0" borderId="47" xfId="5" applyFont="1" applyFill="1" applyBorder="1" applyAlignment="1">
      <alignment horizontal="center" vertical="center" wrapText="1"/>
    </xf>
    <xf numFmtId="0" fontId="69" fillId="0" borderId="40" xfId="5" applyFont="1" applyFill="1" applyBorder="1" applyAlignment="1">
      <alignment horizontal="center" vertical="center" wrapText="1"/>
    </xf>
    <xf numFmtId="0" fontId="69" fillId="0" borderId="51" xfId="5" applyFont="1" applyFill="1" applyBorder="1" applyAlignment="1">
      <alignment horizontal="center" vertical="center" wrapText="1"/>
    </xf>
    <xf numFmtId="0" fontId="69" fillId="0" borderId="45" xfId="5" applyFont="1" applyFill="1" applyBorder="1" applyAlignment="1">
      <alignment horizontal="center" vertical="center" wrapText="1"/>
    </xf>
    <xf numFmtId="0" fontId="69" fillId="0" borderId="0" xfId="5" applyFont="1" applyFill="1" applyBorder="1" applyAlignment="1">
      <alignment horizontal="center" vertical="center" wrapText="1"/>
    </xf>
    <xf numFmtId="0" fontId="69" fillId="0" borderId="46" xfId="5" applyFont="1" applyFill="1" applyBorder="1" applyAlignment="1">
      <alignment horizontal="center" vertical="center" wrapText="1"/>
    </xf>
    <xf numFmtId="0" fontId="69" fillId="0" borderId="48" xfId="5" applyFont="1" applyFill="1" applyBorder="1" applyAlignment="1">
      <alignment horizontal="center" vertical="center" wrapText="1"/>
    </xf>
    <xf numFmtId="0" fontId="69" fillId="0" borderId="41" xfId="5" applyFont="1" applyFill="1" applyBorder="1" applyAlignment="1">
      <alignment horizontal="center" vertical="center" wrapText="1"/>
    </xf>
    <xf numFmtId="0" fontId="69" fillId="0" borderId="49" xfId="5" applyFont="1" applyFill="1" applyBorder="1" applyAlignment="1">
      <alignment horizontal="center" vertical="center" wrapText="1"/>
    </xf>
    <xf numFmtId="0" fontId="68" fillId="0" borderId="72" xfId="0" applyFont="1" applyBorder="1" applyAlignment="1">
      <alignment horizontal="center" vertical="center" wrapText="1"/>
    </xf>
    <xf numFmtId="0" fontId="68" fillId="0" borderId="73" xfId="0" applyFont="1" applyBorder="1" applyAlignment="1">
      <alignment horizontal="center" vertical="center" wrapText="1"/>
    </xf>
    <xf numFmtId="0" fontId="68" fillId="0" borderId="74" xfId="0" applyFont="1" applyBorder="1" applyAlignment="1">
      <alignment horizontal="center" vertical="center" wrapText="1"/>
    </xf>
    <xf numFmtId="0" fontId="68" fillId="0" borderId="75" xfId="0" applyFont="1" applyBorder="1" applyAlignment="1">
      <alignment horizontal="center" vertical="center" wrapText="1"/>
    </xf>
    <xf numFmtId="0" fontId="68" fillId="0" borderId="76" xfId="0" applyFont="1" applyBorder="1" applyAlignment="1">
      <alignment horizontal="center" vertical="center" wrapText="1"/>
    </xf>
    <xf numFmtId="0" fontId="68" fillId="0" borderId="77" xfId="0" applyFont="1" applyBorder="1" applyAlignment="1">
      <alignment horizontal="center" vertical="center" wrapText="1"/>
    </xf>
    <xf numFmtId="0" fontId="94" fillId="8" borderId="22" xfId="0" applyFont="1" applyFill="1" applyBorder="1" applyAlignment="1" applyProtection="1">
      <alignment horizontal="left" vertical="center" wrapText="1"/>
      <protection locked="0"/>
    </xf>
    <xf numFmtId="0" fontId="53" fillId="0" borderId="19" xfId="0" applyFont="1" applyBorder="1" applyAlignment="1">
      <alignment horizontal="left" vertical="center" wrapText="1"/>
    </xf>
    <xf numFmtId="0" fontId="53" fillId="0" borderId="20" xfId="0" applyFont="1" applyBorder="1" applyAlignment="1">
      <alignment horizontal="left" vertical="center" wrapText="1"/>
    </xf>
    <xf numFmtId="0" fontId="53" fillId="0" borderId="21" xfId="0" applyFont="1" applyBorder="1" applyAlignment="1">
      <alignment horizontal="left" vertical="center" wrapText="1"/>
    </xf>
    <xf numFmtId="0" fontId="85" fillId="8" borderId="16" xfId="0" applyFont="1" applyFill="1" applyBorder="1" applyAlignment="1" applyProtection="1">
      <alignment horizontal="left" vertical="center"/>
      <protection hidden="1"/>
    </xf>
    <xf numFmtId="0" fontId="85" fillId="8" borderId="17" xfId="0" applyFont="1" applyFill="1" applyBorder="1" applyAlignment="1" applyProtection="1">
      <alignment horizontal="left" vertical="center"/>
      <protection hidden="1"/>
    </xf>
    <xf numFmtId="0" fontId="85" fillId="8" borderId="18" xfId="0" applyFont="1" applyFill="1" applyBorder="1" applyAlignment="1" applyProtection="1">
      <alignment horizontal="left" vertical="center"/>
      <protection hidden="1"/>
    </xf>
    <xf numFmtId="0" fontId="59" fillId="28" borderId="64" xfId="0" applyFont="1" applyFill="1" applyBorder="1" applyAlignment="1" applyProtection="1">
      <alignment horizontal="center" vertical="center"/>
      <protection hidden="1"/>
    </xf>
    <xf numFmtId="0" fontId="59" fillId="28" borderId="15" xfId="0" applyFont="1" applyFill="1" applyBorder="1" applyAlignment="1" applyProtection="1">
      <alignment horizontal="center" vertical="center"/>
      <protection hidden="1"/>
    </xf>
    <xf numFmtId="0" fontId="85" fillId="8" borderId="14" xfId="0" applyFont="1" applyFill="1" applyBorder="1" applyAlignment="1" applyProtection="1">
      <alignment horizontal="left" vertical="center" wrapText="1"/>
      <protection hidden="1"/>
    </xf>
    <xf numFmtId="0" fontId="85" fillId="8" borderId="64" xfId="0" applyFont="1" applyFill="1" applyBorder="1" applyAlignment="1" applyProtection="1">
      <alignment horizontal="left" vertical="center" wrapText="1"/>
      <protection hidden="1"/>
    </xf>
    <xf numFmtId="0" fontId="85" fillId="8" borderId="15" xfId="0" applyFont="1" applyFill="1" applyBorder="1" applyAlignment="1" applyProtection="1">
      <alignment horizontal="left" vertical="center" wrapText="1"/>
      <protection hidden="1"/>
    </xf>
    <xf numFmtId="0" fontId="85" fillId="8" borderId="64" xfId="0" applyFont="1" applyFill="1" applyBorder="1" applyAlignment="1" applyProtection="1">
      <alignment horizontal="left" vertical="center"/>
      <protection hidden="1"/>
    </xf>
    <xf numFmtId="0" fontId="85" fillId="8" borderId="15" xfId="0" applyFont="1" applyFill="1" applyBorder="1" applyAlignment="1" applyProtection="1">
      <alignment horizontal="left" vertical="center"/>
      <protection hidden="1"/>
    </xf>
    <xf numFmtId="0" fontId="53" fillId="0" borderId="19" xfId="0" applyFont="1" applyBorder="1" applyAlignment="1">
      <alignment horizontal="left" vertical="center"/>
    </xf>
    <xf numFmtId="0" fontId="53" fillId="0" borderId="20" xfId="0" applyFont="1" applyBorder="1" applyAlignment="1">
      <alignment horizontal="left" vertical="center"/>
    </xf>
    <xf numFmtId="0" fontId="53" fillId="0" borderId="21" xfId="0" applyFont="1" applyBorder="1" applyAlignment="1">
      <alignment horizontal="left" vertical="center"/>
    </xf>
    <xf numFmtId="0" fontId="77" fillId="0" borderId="65" xfId="0" applyFont="1" applyBorder="1" applyAlignment="1">
      <alignment horizontal="center"/>
    </xf>
    <xf numFmtId="0" fontId="27" fillId="28" borderId="22" xfId="0" applyFont="1" applyFill="1" applyBorder="1" applyAlignment="1" applyProtection="1">
      <alignment horizontal="center" vertical="center"/>
      <protection hidden="1"/>
    </xf>
    <xf numFmtId="0" fontId="78" fillId="0" borderId="72" xfId="0" applyFont="1" applyBorder="1" applyAlignment="1">
      <alignment horizontal="center" vertical="center" wrapText="1"/>
    </xf>
    <xf numFmtId="0" fontId="78" fillId="0" borderId="73" xfId="0" applyFont="1" applyBorder="1" applyAlignment="1">
      <alignment horizontal="center" vertical="center" wrapText="1"/>
    </xf>
    <xf numFmtId="0" fontId="78" fillId="0" borderId="74" xfId="0" applyFont="1" applyBorder="1" applyAlignment="1">
      <alignment horizontal="center" vertical="center" wrapText="1"/>
    </xf>
    <xf numFmtId="0" fontId="78" fillId="0" borderId="75" xfId="0" applyFont="1" applyBorder="1" applyAlignment="1">
      <alignment horizontal="center" vertical="center" wrapText="1"/>
    </xf>
    <xf numFmtId="0" fontId="78" fillId="0" borderId="76" xfId="0" applyFont="1" applyBorder="1" applyAlignment="1">
      <alignment horizontal="center" vertical="center" wrapText="1"/>
    </xf>
    <xf numFmtId="0" fontId="78" fillId="0" borderId="77" xfId="0" applyFont="1" applyBorder="1" applyAlignment="1">
      <alignment horizontal="center" vertical="center" wrapText="1"/>
    </xf>
    <xf numFmtId="0" fontId="84" fillId="0" borderId="72" xfId="0" applyFont="1" applyBorder="1" applyAlignment="1">
      <alignment horizontal="center" vertical="center" wrapText="1"/>
    </xf>
    <xf numFmtId="0" fontId="84" fillId="0" borderId="73" xfId="0" applyFont="1" applyBorder="1" applyAlignment="1">
      <alignment horizontal="center" vertical="center" wrapText="1"/>
    </xf>
    <xf numFmtId="0" fontId="84" fillId="0" borderId="74" xfId="0" applyFont="1" applyBorder="1" applyAlignment="1">
      <alignment horizontal="center" vertical="center" wrapText="1"/>
    </xf>
    <xf numFmtId="0" fontId="84" fillId="0" borderId="75" xfId="0" applyFont="1" applyBorder="1" applyAlignment="1">
      <alignment horizontal="center" vertical="center" wrapText="1"/>
    </xf>
    <xf numFmtId="0" fontId="84" fillId="0" borderId="76" xfId="0" applyFont="1" applyBorder="1" applyAlignment="1">
      <alignment horizontal="center" vertical="center" wrapText="1"/>
    </xf>
    <xf numFmtId="0" fontId="84" fillId="0" borderId="77" xfId="0" applyFont="1" applyBorder="1" applyAlignment="1">
      <alignment horizontal="center" vertical="center" wrapText="1"/>
    </xf>
    <xf numFmtId="0" fontId="81" fillId="0" borderId="72" xfId="0" applyFont="1" applyBorder="1" applyAlignment="1">
      <alignment horizontal="center" vertical="center" wrapText="1"/>
    </xf>
    <xf numFmtId="0" fontId="81" fillId="0" borderId="73" xfId="0" applyFont="1" applyBorder="1" applyAlignment="1">
      <alignment horizontal="center" vertical="center" wrapText="1"/>
    </xf>
    <xf numFmtId="0" fontId="81" fillId="0" borderId="74" xfId="0" applyFont="1" applyBorder="1" applyAlignment="1">
      <alignment horizontal="center" vertical="center" wrapText="1"/>
    </xf>
    <xf numFmtId="0" fontId="81" fillId="0" borderId="75" xfId="0" applyFont="1" applyBorder="1" applyAlignment="1">
      <alignment horizontal="center" vertical="center" wrapText="1"/>
    </xf>
    <xf numFmtId="0" fontId="81" fillId="0" borderId="76" xfId="0" applyFont="1" applyBorder="1" applyAlignment="1">
      <alignment horizontal="center" vertical="center" wrapText="1"/>
    </xf>
    <xf numFmtId="0" fontId="81" fillId="0" borderId="77" xfId="0" applyFont="1" applyBorder="1" applyAlignment="1">
      <alignment horizontal="center" vertical="center" wrapText="1"/>
    </xf>
    <xf numFmtId="0" fontId="77" fillId="0" borderId="65" xfId="0" applyFont="1" applyBorder="1" applyAlignment="1">
      <alignment horizontal="center" vertical="center" wrapText="1"/>
    </xf>
    <xf numFmtId="0" fontId="80" fillId="0" borderId="65" xfId="0" applyFont="1" applyBorder="1" applyAlignment="1">
      <alignment horizontal="center" vertical="center" wrapText="1"/>
    </xf>
    <xf numFmtId="14" fontId="80" fillId="0" borderId="65" xfId="0" applyNumberFormat="1" applyFont="1" applyBorder="1" applyAlignment="1">
      <alignment horizontal="center" vertical="center" wrapText="1"/>
    </xf>
    <xf numFmtId="0" fontId="53" fillId="8" borderId="22" xfId="0" applyFont="1" applyFill="1" applyBorder="1" applyAlignment="1" applyProtection="1">
      <alignment horizontal="left" vertical="center" wrapText="1"/>
      <protection locked="0"/>
    </xf>
    <xf numFmtId="0" fontId="94" fillId="8" borderId="19" xfId="0" applyFont="1" applyFill="1" applyBorder="1" applyAlignment="1" applyProtection="1">
      <alignment horizontal="left" vertical="center" wrapText="1"/>
      <protection locked="0"/>
    </xf>
    <xf numFmtId="0" fontId="94" fillId="8" borderId="20" xfId="0" applyFont="1" applyFill="1" applyBorder="1" applyAlignment="1" applyProtection="1">
      <alignment horizontal="left" vertical="center" wrapText="1"/>
      <protection locked="0"/>
    </xf>
    <xf numFmtId="0" fontId="94" fillId="8" borderId="21" xfId="0" applyFont="1" applyFill="1" applyBorder="1" applyAlignment="1" applyProtection="1">
      <alignment horizontal="left" vertical="center" wrapText="1"/>
      <protection locked="0"/>
    </xf>
    <xf numFmtId="0" fontId="92" fillId="13" borderId="22" xfId="0" applyFont="1" applyFill="1" applyBorder="1" applyAlignment="1" applyProtection="1">
      <alignment horizontal="right" vertical="center" wrapText="1"/>
      <protection locked="0"/>
    </xf>
    <xf numFmtId="0" fontId="92" fillId="13" borderId="86" xfId="0" applyFont="1" applyFill="1" applyBorder="1" applyAlignment="1" applyProtection="1">
      <alignment horizontal="right" vertical="center"/>
      <protection locked="0"/>
    </xf>
    <xf numFmtId="0" fontId="92" fillId="13" borderId="22" xfId="0" applyFont="1" applyFill="1" applyBorder="1" applyAlignment="1" applyProtection="1">
      <alignment horizontal="right" vertical="center"/>
      <protection locked="0"/>
    </xf>
    <xf numFmtId="0" fontId="27" fillId="28" borderId="86" xfId="0" applyFont="1" applyFill="1" applyBorder="1" applyAlignment="1" applyProtection="1">
      <alignment horizontal="center" vertical="center"/>
      <protection hidden="1"/>
    </xf>
    <xf numFmtId="0" fontId="27" fillId="28" borderId="110" xfId="0" applyFont="1" applyFill="1" applyBorder="1" applyAlignment="1" applyProtection="1">
      <alignment horizontal="center" vertical="center"/>
      <protection hidden="1"/>
    </xf>
    <xf numFmtId="0" fontId="27" fillId="28" borderId="111" xfId="0" applyFont="1" applyFill="1" applyBorder="1" applyAlignment="1" applyProtection="1">
      <alignment horizontal="center" vertical="center"/>
      <protection hidden="1"/>
    </xf>
    <xf numFmtId="0" fontId="27" fillId="28" borderId="112" xfId="0" applyFont="1" applyFill="1" applyBorder="1" applyAlignment="1" applyProtection="1">
      <alignment horizontal="center" vertical="center"/>
      <protection hidden="1"/>
    </xf>
    <xf numFmtId="0" fontId="59" fillId="28" borderId="11" xfId="0" applyFont="1" applyFill="1" applyBorder="1" applyAlignment="1" applyProtection="1">
      <alignment horizontal="center" vertical="center"/>
      <protection hidden="1"/>
    </xf>
    <xf numFmtId="0" fontId="59" fillId="28" borderId="12" xfId="0" applyFont="1" applyFill="1" applyBorder="1" applyAlignment="1" applyProtection="1">
      <alignment horizontal="center" vertical="center"/>
      <protection hidden="1"/>
    </xf>
    <xf numFmtId="0" fontId="59" fillId="28" borderId="13" xfId="0" applyFont="1" applyFill="1" applyBorder="1" applyAlignment="1" applyProtection="1">
      <alignment horizontal="center" vertical="center"/>
      <protection hidden="1"/>
    </xf>
    <xf numFmtId="0" fontId="59" fillId="28" borderId="14" xfId="0" applyFont="1" applyFill="1" applyBorder="1" applyAlignment="1" applyProtection="1">
      <alignment horizontal="center" vertical="center"/>
      <protection hidden="1"/>
    </xf>
    <xf numFmtId="0" fontId="53" fillId="8" borderId="20" xfId="0" applyFont="1" applyFill="1" applyBorder="1" applyAlignment="1" applyProtection="1">
      <alignment horizontal="left" vertical="center" wrapText="1"/>
      <protection locked="0"/>
    </xf>
    <xf numFmtId="0" fontId="53" fillId="8" borderId="21" xfId="0" applyFont="1" applyFill="1" applyBorder="1" applyAlignment="1" applyProtection="1">
      <alignment horizontal="left" vertical="center" wrapText="1"/>
      <protection locked="0"/>
    </xf>
    <xf numFmtId="0" fontId="53" fillId="8" borderId="19" xfId="0" applyFont="1" applyFill="1" applyBorder="1" applyAlignment="1" applyProtection="1">
      <alignment horizontal="left" vertical="center" wrapText="1"/>
      <protection locked="0"/>
    </xf>
    <xf numFmtId="0" fontId="50" fillId="13" borderId="22" xfId="0" applyFont="1" applyFill="1" applyBorder="1" applyAlignment="1" applyProtection="1">
      <alignment horizontal="right" vertical="center" wrapText="1"/>
      <protection locked="0"/>
    </xf>
    <xf numFmtId="0" fontId="50" fillId="13" borderId="19" xfId="0" applyFont="1" applyFill="1" applyBorder="1" applyAlignment="1" applyProtection="1">
      <alignment horizontal="right" vertical="center"/>
      <protection locked="0"/>
    </xf>
    <xf numFmtId="0" fontId="50" fillId="13" borderId="20" xfId="0" applyFont="1" applyFill="1" applyBorder="1" applyAlignment="1" applyProtection="1">
      <alignment horizontal="right" vertical="center"/>
      <protection locked="0"/>
    </xf>
    <xf numFmtId="0" fontId="50" fillId="13" borderId="21" xfId="0" applyFont="1" applyFill="1" applyBorder="1" applyAlignment="1" applyProtection="1">
      <alignment horizontal="right" vertical="center"/>
      <protection locked="0"/>
    </xf>
    <xf numFmtId="0" fontId="73" fillId="0" borderId="65" xfId="0" applyFont="1" applyBorder="1" applyAlignment="1">
      <alignment horizontal="center"/>
    </xf>
    <xf numFmtId="0" fontId="74" fillId="0" borderId="65" xfId="0" applyFont="1" applyBorder="1" applyAlignment="1">
      <alignment horizontal="center" vertical="center" wrapText="1"/>
    </xf>
    <xf numFmtId="0" fontId="73" fillId="0" borderId="65" xfId="0" applyFont="1" applyBorder="1" applyAlignment="1">
      <alignment horizontal="center" vertical="center" wrapText="1"/>
    </xf>
    <xf numFmtId="0" fontId="30" fillId="0" borderId="65" xfId="0" applyFont="1" applyBorder="1" applyAlignment="1">
      <alignment horizontal="center" vertical="center" wrapText="1"/>
    </xf>
    <xf numFmtId="0" fontId="75" fillId="0" borderId="65" xfId="0" applyFont="1" applyBorder="1" applyAlignment="1">
      <alignment horizontal="center" vertical="center" wrapText="1"/>
    </xf>
    <xf numFmtId="0" fontId="76" fillId="0" borderId="65" xfId="0" applyFont="1" applyBorder="1" applyAlignment="1">
      <alignment horizontal="center" vertical="center" wrapText="1"/>
    </xf>
    <xf numFmtId="14" fontId="75" fillId="0" borderId="65" xfId="0" applyNumberFormat="1" applyFont="1" applyBorder="1" applyAlignment="1">
      <alignment horizontal="center" vertical="center" wrapText="1"/>
    </xf>
    <xf numFmtId="0" fontId="58" fillId="12" borderId="45" xfId="0" applyFont="1" applyFill="1" applyBorder="1" applyAlignment="1" applyProtection="1">
      <alignment horizontal="center" vertical="center"/>
      <protection hidden="1"/>
    </xf>
    <xf numFmtId="0" fontId="58" fillId="12" borderId="9" xfId="0" applyFont="1" applyFill="1" applyBorder="1" applyAlignment="1" applyProtection="1">
      <alignment horizontal="center" vertical="center"/>
      <protection hidden="1"/>
    </xf>
    <xf numFmtId="0" fontId="58" fillId="12" borderId="0" xfId="0" applyFont="1" applyFill="1" applyBorder="1" applyAlignment="1" applyProtection="1">
      <alignment horizontal="center" vertical="center"/>
      <protection hidden="1"/>
    </xf>
    <xf numFmtId="0" fontId="14" fillId="28" borderId="0" xfId="0" applyFont="1" applyFill="1" applyAlignment="1" applyProtection="1">
      <alignment horizontal="center"/>
      <protection hidden="1"/>
    </xf>
    <xf numFmtId="0" fontId="19" fillId="28" borderId="64" xfId="0" applyFont="1" applyFill="1" applyBorder="1" applyAlignment="1" applyProtection="1">
      <alignment horizontal="center" vertical="center"/>
      <protection hidden="1"/>
    </xf>
    <xf numFmtId="0" fontId="58" fillId="32" borderId="64" xfId="0" applyFont="1" applyFill="1" applyBorder="1" applyAlignment="1" applyProtection="1">
      <alignment horizontal="center" vertical="center"/>
      <protection hidden="1"/>
    </xf>
    <xf numFmtId="0" fontId="14" fillId="28" borderId="46" xfId="0" applyFont="1" applyFill="1" applyBorder="1" applyAlignment="1" applyProtection="1">
      <alignment horizontal="center"/>
      <protection hidden="1"/>
    </xf>
    <xf numFmtId="0" fontId="28" fillId="3" borderId="47" xfId="0" applyFont="1" applyFill="1" applyBorder="1" applyAlignment="1" applyProtection="1">
      <alignment horizontal="center" vertical="center" wrapText="1"/>
      <protection hidden="1"/>
    </xf>
    <xf numFmtId="0" fontId="28" fillId="3" borderId="40" xfId="0" applyFont="1" applyFill="1" applyBorder="1" applyAlignment="1" applyProtection="1">
      <alignment horizontal="center" vertical="center" wrapText="1"/>
      <protection hidden="1"/>
    </xf>
    <xf numFmtId="0" fontId="28" fillId="3" borderId="51" xfId="0" applyFont="1" applyFill="1" applyBorder="1" applyAlignment="1" applyProtection="1">
      <alignment horizontal="center" vertical="center" wrapText="1"/>
      <protection hidden="1"/>
    </xf>
    <xf numFmtId="0" fontId="28" fillId="3" borderId="48" xfId="0" applyFont="1" applyFill="1" applyBorder="1" applyAlignment="1" applyProtection="1">
      <alignment horizontal="center" vertical="center" wrapText="1"/>
      <protection hidden="1"/>
    </xf>
    <xf numFmtId="0" fontId="28" fillId="3" borderId="41" xfId="0" applyFont="1" applyFill="1" applyBorder="1" applyAlignment="1" applyProtection="1">
      <alignment horizontal="center" vertical="center" wrapText="1"/>
      <protection hidden="1"/>
    </xf>
    <xf numFmtId="0" fontId="28" fillId="3" borderId="49" xfId="0" applyFont="1" applyFill="1" applyBorder="1" applyAlignment="1" applyProtection="1">
      <alignment horizontal="center" vertical="center" wrapText="1"/>
      <protection hidden="1"/>
    </xf>
    <xf numFmtId="0" fontId="58" fillId="12" borderId="10" xfId="0" applyFont="1" applyFill="1" applyBorder="1" applyAlignment="1" applyProtection="1">
      <alignment horizontal="center" vertical="center"/>
      <protection hidden="1"/>
    </xf>
    <xf numFmtId="0" fontId="43" fillId="19" borderId="47" xfId="0" applyFont="1" applyFill="1" applyBorder="1" applyAlignment="1" applyProtection="1">
      <alignment horizontal="center" vertical="center" wrapText="1"/>
      <protection hidden="1"/>
    </xf>
    <xf numFmtId="0" fontId="43" fillId="19" borderId="40" xfId="0" applyFont="1" applyFill="1" applyBorder="1" applyAlignment="1" applyProtection="1">
      <alignment horizontal="center" vertical="center" wrapText="1"/>
      <protection hidden="1"/>
    </xf>
    <xf numFmtId="0" fontId="43" fillId="19" borderId="51" xfId="0" applyFont="1" applyFill="1" applyBorder="1" applyAlignment="1" applyProtection="1">
      <alignment horizontal="center" vertical="center" wrapText="1"/>
      <protection hidden="1"/>
    </xf>
    <xf numFmtId="0" fontId="43" fillId="19" borderId="48" xfId="0" applyFont="1" applyFill="1" applyBorder="1" applyAlignment="1" applyProtection="1">
      <alignment horizontal="center" vertical="center" wrapText="1"/>
      <protection hidden="1"/>
    </xf>
    <xf numFmtId="0" fontId="43" fillId="19" borderId="41" xfId="0" applyFont="1" applyFill="1" applyBorder="1" applyAlignment="1" applyProtection="1">
      <alignment horizontal="center" vertical="center" wrapText="1"/>
      <protection hidden="1"/>
    </xf>
    <xf numFmtId="0" fontId="43" fillId="19" borderId="49" xfId="0" applyFont="1" applyFill="1" applyBorder="1" applyAlignment="1" applyProtection="1">
      <alignment horizontal="center" vertical="center" wrapText="1"/>
      <protection hidden="1"/>
    </xf>
    <xf numFmtId="0" fontId="58" fillId="4" borderId="47" xfId="0" applyFont="1" applyFill="1" applyBorder="1" applyAlignment="1" applyProtection="1">
      <alignment horizontal="center" vertical="center" wrapText="1"/>
      <protection hidden="1"/>
    </xf>
    <xf numFmtId="0" fontId="58" fillId="4" borderId="40" xfId="0" applyFont="1" applyFill="1" applyBorder="1" applyAlignment="1" applyProtection="1">
      <alignment horizontal="center" vertical="center" wrapText="1"/>
      <protection hidden="1"/>
    </xf>
    <xf numFmtId="0" fontId="58" fillId="4" borderId="51" xfId="0" applyFont="1" applyFill="1" applyBorder="1" applyAlignment="1" applyProtection="1">
      <alignment horizontal="center" vertical="center" wrapText="1"/>
      <protection hidden="1"/>
    </xf>
    <xf numFmtId="0" fontId="58" fillId="4" borderId="48" xfId="0" applyFont="1" applyFill="1" applyBorder="1" applyAlignment="1" applyProtection="1">
      <alignment horizontal="center" vertical="center" wrapText="1"/>
      <protection hidden="1"/>
    </xf>
    <xf numFmtId="0" fontId="58" fillId="4" borderId="41" xfId="0" applyFont="1" applyFill="1" applyBorder="1" applyAlignment="1" applyProtection="1">
      <alignment horizontal="center" vertical="center" wrapText="1"/>
      <protection hidden="1"/>
    </xf>
    <xf numFmtId="0" fontId="58" fillId="4" borderId="49" xfId="0" applyFont="1" applyFill="1" applyBorder="1" applyAlignment="1" applyProtection="1">
      <alignment horizontal="center" vertical="center" wrapText="1"/>
      <protection hidden="1"/>
    </xf>
    <xf numFmtId="0" fontId="43" fillId="20" borderId="47" xfId="0" applyFont="1" applyFill="1" applyBorder="1" applyAlignment="1" applyProtection="1">
      <alignment horizontal="center" vertical="center" wrapText="1"/>
      <protection hidden="1"/>
    </xf>
    <xf numFmtId="0" fontId="43" fillId="20" borderId="40" xfId="0" applyFont="1" applyFill="1" applyBorder="1" applyAlignment="1" applyProtection="1">
      <alignment horizontal="center" vertical="center" wrapText="1"/>
      <protection hidden="1"/>
    </xf>
    <xf numFmtId="0" fontId="43" fillId="20" borderId="51" xfId="0" applyFont="1" applyFill="1" applyBorder="1" applyAlignment="1" applyProtection="1">
      <alignment horizontal="center" vertical="center" wrapText="1"/>
      <protection hidden="1"/>
    </xf>
    <xf numFmtId="0" fontId="43" fillId="20" borderId="48" xfId="0" applyFont="1" applyFill="1" applyBorder="1" applyAlignment="1" applyProtection="1">
      <alignment horizontal="center" vertical="center" wrapText="1"/>
      <protection hidden="1"/>
    </xf>
    <xf numFmtId="0" fontId="43" fillId="20" borderId="41" xfId="0" applyFont="1" applyFill="1" applyBorder="1" applyAlignment="1" applyProtection="1">
      <alignment horizontal="center" vertical="center" wrapText="1"/>
      <protection hidden="1"/>
    </xf>
    <xf numFmtId="0" fontId="43" fillId="20" borderId="49" xfId="0" applyFont="1" applyFill="1" applyBorder="1" applyAlignment="1" applyProtection="1">
      <alignment horizontal="center" vertical="center" wrapText="1"/>
      <protection hidden="1"/>
    </xf>
    <xf numFmtId="0" fontId="59" fillId="28" borderId="50" xfId="0" applyFont="1" applyFill="1" applyBorder="1" applyAlignment="1" applyProtection="1">
      <alignment horizontal="center" vertical="center" wrapText="1"/>
      <protection hidden="1"/>
    </xf>
    <xf numFmtId="0" fontId="59" fillId="28" borderId="6" xfId="0" applyFont="1" applyFill="1" applyBorder="1" applyAlignment="1" applyProtection="1">
      <alignment horizontal="center" vertical="center" wrapText="1"/>
      <protection hidden="1"/>
    </xf>
    <xf numFmtId="0" fontId="59" fillId="28" borderId="7" xfId="0" applyFont="1" applyFill="1" applyBorder="1" applyAlignment="1" applyProtection="1">
      <alignment horizontal="center" vertical="center" wrapText="1"/>
      <protection hidden="1"/>
    </xf>
    <xf numFmtId="0" fontId="50" fillId="16" borderId="64" xfId="0" applyFont="1" applyFill="1" applyBorder="1" applyAlignment="1" applyProtection="1">
      <alignment horizontal="center" vertical="center" wrapText="1"/>
      <protection hidden="1"/>
    </xf>
    <xf numFmtId="164" fontId="53" fillId="16" borderId="64" xfId="0" applyNumberFormat="1" applyFont="1" applyFill="1" applyBorder="1" applyAlignment="1" applyProtection="1">
      <alignment horizontal="center" vertical="center" wrapText="1"/>
      <protection hidden="1"/>
    </xf>
    <xf numFmtId="0" fontId="50" fillId="14" borderId="64" xfId="0" applyFont="1" applyFill="1" applyBorder="1" applyAlignment="1" applyProtection="1">
      <alignment horizontal="center" vertical="center" wrapText="1"/>
      <protection hidden="1"/>
    </xf>
    <xf numFmtId="164" fontId="53" fillId="14" borderId="64" xfId="0" applyNumberFormat="1" applyFont="1" applyFill="1" applyBorder="1" applyAlignment="1" applyProtection="1">
      <alignment horizontal="center" vertical="center" wrapText="1"/>
      <protection hidden="1"/>
    </xf>
    <xf numFmtId="0" fontId="60" fillId="8" borderId="0" xfId="0" applyFont="1" applyFill="1" applyAlignment="1" applyProtection="1">
      <alignment horizontal="center"/>
      <protection locked="0"/>
    </xf>
    <xf numFmtId="0" fontId="61" fillId="0" borderId="64" xfId="0" applyFont="1" applyFill="1" applyBorder="1" applyAlignment="1" applyProtection="1">
      <alignment horizontal="center" vertical="center" wrapText="1"/>
      <protection hidden="1"/>
    </xf>
    <xf numFmtId="0" fontId="61" fillId="0" borderId="64" xfId="0" applyFont="1" applyFill="1" applyBorder="1" applyAlignment="1" applyProtection="1">
      <alignment horizontal="justify" vertical="center" wrapText="1"/>
      <protection hidden="1"/>
    </xf>
    <xf numFmtId="0" fontId="88" fillId="28" borderId="83" xfId="0" applyFont="1" applyFill="1" applyBorder="1" applyAlignment="1">
      <alignment horizontal="center" vertical="center" wrapText="1"/>
    </xf>
    <xf numFmtId="0" fontId="74" fillId="0" borderId="113" xfId="0" applyFont="1" applyBorder="1" applyAlignment="1">
      <alignment horizontal="center" vertical="center" wrapText="1"/>
    </xf>
    <xf numFmtId="0" fontId="74" fillId="0" borderId="114" xfId="0" applyFont="1" applyBorder="1" applyAlignment="1">
      <alignment horizontal="center" vertical="center" wrapText="1"/>
    </xf>
    <xf numFmtId="14" fontId="74" fillId="0" borderId="113" xfId="0" applyNumberFormat="1" applyFont="1" applyBorder="1" applyAlignment="1">
      <alignment horizontal="center" vertical="center" wrapText="1"/>
    </xf>
    <xf numFmtId="14" fontId="74" fillId="0" borderId="114" xfId="0" applyNumberFormat="1" applyFont="1" applyBorder="1" applyAlignment="1">
      <alignment horizontal="center" vertical="center" wrapText="1"/>
    </xf>
    <xf numFmtId="0" fontId="73" fillId="0" borderId="72" xfId="0" applyFont="1" applyBorder="1" applyAlignment="1">
      <alignment horizontal="center"/>
    </xf>
    <xf numFmtId="0" fontId="73" fillId="0" borderId="74" xfId="0" applyFont="1" applyBorder="1" applyAlignment="1">
      <alignment horizontal="center"/>
    </xf>
    <xf numFmtId="0" fontId="73" fillId="0" borderId="84" xfId="0" applyFont="1" applyBorder="1" applyAlignment="1">
      <alignment horizontal="center"/>
    </xf>
    <xf numFmtId="0" fontId="73" fillId="0" borderId="85" xfId="0" applyFont="1" applyBorder="1" applyAlignment="1">
      <alignment horizontal="center"/>
    </xf>
    <xf numFmtId="0" fontId="73" fillId="0" borderId="75" xfId="0" applyFont="1" applyBorder="1" applyAlignment="1">
      <alignment horizontal="center"/>
    </xf>
    <xf numFmtId="0" fontId="73" fillId="0" borderId="77" xfId="0" applyFont="1" applyBorder="1" applyAlignment="1">
      <alignment horizontal="center"/>
    </xf>
    <xf numFmtId="0" fontId="76" fillId="0" borderId="113" xfId="0" applyFont="1" applyBorder="1" applyAlignment="1">
      <alignment horizontal="center" vertical="center" wrapText="1"/>
    </xf>
    <xf numFmtId="0" fontId="76" fillId="0" borderId="114" xfId="0" applyFont="1" applyBorder="1" applyAlignment="1">
      <alignment horizontal="center" vertical="center" wrapText="1"/>
    </xf>
    <xf numFmtId="0" fontId="30" fillId="0" borderId="66" xfId="0" applyFont="1" applyBorder="1" applyAlignment="1">
      <alignment horizontal="center" vertical="center" wrapText="1"/>
    </xf>
    <xf numFmtId="0" fontId="30" fillId="0" borderId="67" xfId="0" applyFont="1" applyBorder="1" applyAlignment="1">
      <alignment horizontal="center" vertical="center" wrapText="1"/>
    </xf>
    <xf numFmtId="0" fontId="30" fillId="0" borderId="68" xfId="0" applyFont="1" applyBorder="1" applyAlignment="1">
      <alignment horizontal="center" vertical="center" wrapText="1"/>
    </xf>
    <xf numFmtId="0" fontId="74" fillId="0" borderId="66" xfId="0" applyFont="1" applyBorder="1" applyAlignment="1">
      <alignment horizontal="center" vertical="center" wrapText="1"/>
    </xf>
    <xf numFmtId="0" fontId="74" fillId="0" borderId="67" xfId="0" applyFont="1" applyBorder="1" applyAlignment="1">
      <alignment horizontal="center" vertical="center" wrapText="1"/>
    </xf>
    <xf numFmtId="0" fontId="74" fillId="0" borderId="68" xfId="0" applyFont="1" applyBorder="1" applyAlignment="1">
      <alignment horizontal="center" vertical="center" wrapText="1"/>
    </xf>
    <xf numFmtId="0" fontId="76" fillId="0" borderId="66" xfId="0" applyFont="1" applyBorder="1" applyAlignment="1">
      <alignment horizontal="center" vertical="center" wrapText="1"/>
    </xf>
    <xf numFmtId="0" fontId="76" fillId="0" borderId="67" xfId="0" applyFont="1" applyBorder="1" applyAlignment="1">
      <alignment horizontal="center" vertical="center" wrapText="1"/>
    </xf>
    <xf numFmtId="0" fontId="76" fillId="0" borderId="68" xfId="0" applyFont="1" applyBorder="1" applyAlignment="1">
      <alignment horizontal="center" vertical="center" wrapText="1"/>
    </xf>
    <xf numFmtId="0" fontId="91" fillId="0" borderId="123" xfId="0" applyFont="1" applyBorder="1" applyAlignment="1">
      <alignment horizontal="justify" vertical="center" wrapText="1"/>
    </xf>
    <xf numFmtId="0" fontId="91" fillId="0" borderId="124" xfId="0" applyFont="1" applyBorder="1" applyAlignment="1">
      <alignment horizontal="justify" vertical="center" wrapText="1"/>
    </xf>
    <xf numFmtId="0" fontId="91" fillId="0" borderId="125" xfId="0" applyFont="1" applyBorder="1" applyAlignment="1">
      <alignment horizontal="justify" vertical="center" wrapText="1"/>
    </xf>
    <xf numFmtId="0" fontId="27" fillId="28" borderId="12" xfId="0" applyFont="1" applyFill="1" applyBorder="1" applyAlignment="1">
      <alignment horizontal="center" vertical="center" wrapText="1"/>
    </xf>
    <xf numFmtId="0" fontId="27" fillId="28" borderId="13" xfId="0" applyFont="1" applyFill="1" applyBorder="1" applyAlignment="1">
      <alignment horizontal="center" vertical="center" wrapText="1"/>
    </xf>
    <xf numFmtId="0" fontId="89" fillId="0" borderId="50" xfId="0" applyFont="1" applyBorder="1" applyAlignment="1">
      <alignment horizontal="justify" vertical="center" wrapText="1"/>
    </xf>
    <xf numFmtId="0" fontId="89" fillId="0" borderId="6" xfId="0" applyFont="1" applyBorder="1" applyAlignment="1">
      <alignment horizontal="justify" vertical="center" wrapText="1"/>
    </xf>
    <xf numFmtId="0" fontId="89" fillId="0" borderId="82" xfId="0" applyFont="1" applyBorder="1" applyAlignment="1">
      <alignment horizontal="justify" vertical="center" wrapText="1"/>
    </xf>
    <xf numFmtId="0" fontId="91" fillId="0" borderId="50" xfId="0" applyFont="1" applyBorder="1" applyAlignment="1">
      <alignment horizontal="justify" vertical="center" wrapText="1"/>
    </xf>
    <xf numFmtId="0" fontId="91" fillId="0" borderId="6" xfId="0" applyFont="1" applyBorder="1" applyAlignment="1">
      <alignment horizontal="justify" vertical="center" wrapText="1"/>
    </xf>
    <xf numFmtId="0" fontId="91" fillId="0" borderId="82" xfId="0" applyFont="1" applyBorder="1" applyAlignment="1">
      <alignment horizontal="justify" vertical="center" wrapText="1"/>
    </xf>
    <xf numFmtId="0" fontId="89" fillId="0" borderId="127" xfId="0" applyFont="1" applyBorder="1" applyAlignment="1">
      <alignment horizontal="justify" vertical="center" wrapText="1"/>
    </xf>
    <xf numFmtId="0" fontId="89" fillId="0" borderId="126" xfId="0" applyFont="1" applyBorder="1" applyAlignment="1">
      <alignment horizontal="justify" vertical="center" wrapText="1"/>
    </xf>
    <xf numFmtId="0" fontId="89" fillId="0" borderId="124" xfId="0" applyFont="1" applyBorder="1" applyAlignment="1">
      <alignment horizontal="justify" vertical="center" wrapText="1"/>
    </xf>
    <xf numFmtId="0" fontId="89" fillId="0" borderId="125" xfId="0" applyFont="1" applyBorder="1" applyAlignment="1">
      <alignment horizontal="justify" vertical="center" wrapText="1"/>
    </xf>
    <xf numFmtId="0" fontId="73" fillId="0" borderId="115" xfId="0" applyFont="1" applyBorder="1" applyAlignment="1">
      <alignment horizontal="center"/>
    </xf>
    <xf numFmtId="0" fontId="73" fillId="0" borderId="116" xfId="0" applyFont="1" applyBorder="1" applyAlignment="1">
      <alignment horizontal="center"/>
    </xf>
    <xf numFmtId="0" fontId="73" fillId="0" borderId="117" xfId="0" applyFont="1" applyBorder="1" applyAlignment="1">
      <alignment horizontal="center"/>
    </xf>
    <xf numFmtId="0" fontId="73" fillId="0" borderId="118" xfId="0" applyFont="1" applyBorder="1" applyAlignment="1">
      <alignment horizontal="center"/>
    </xf>
    <xf numFmtId="0" fontId="73" fillId="0" borderId="1" xfId="0" applyFont="1" applyBorder="1" applyAlignment="1">
      <alignment horizontal="center"/>
    </xf>
    <xf numFmtId="0" fontId="73" fillId="0" borderId="119" xfId="0" applyFont="1" applyBorder="1" applyAlignment="1">
      <alignment horizontal="center"/>
    </xf>
    <xf numFmtId="0" fontId="73" fillId="0" borderId="120" xfId="0" applyFont="1" applyBorder="1" applyAlignment="1">
      <alignment horizontal="center"/>
    </xf>
    <xf numFmtId="0" fontId="73" fillId="0" borderId="121" xfId="0" applyFont="1" applyBorder="1" applyAlignment="1">
      <alignment horizontal="center"/>
    </xf>
    <xf numFmtId="0" fontId="73" fillId="0" borderId="122" xfId="0" applyFont="1" applyBorder="1" applyAlignment="1">
      <alignment horizontal="center"/>
    </xf>
    <xf numFmtId="0" fontId="27" fillId="28" borderId="78" xfId="0" applyFont="1" applyFill="1" applyBorder="1" applyAlignment="1">
      <alignment horizontal="center" vertical="center" wrapText="1"/>
    </xf>
    <xf numFmtId="0" fontId="27" fillId="28" borderId="79" xfId="0" applyFont="1" applyFill="1" applyBorder="1" applyAlignment="1">
      <alignment horizontal="center" vertical="center" wrapText="1"/>
    </xf>
    <xf numFmtId="0" fontId="27" fillId="28" borderId="80" xfId="0" applyFont="1" applyFill="1" applyBorder="1" applyAlignment="1">
      <alignment horizontal="center" vertical="center" wrapText="1"/>
    </xf>
    <xf numFmtId="0" fontId="50" fillId="0" borderId="113" xfId="0" applyFont="1" applyBorder="1" applyAlignment="1">
      <alignment horizontal="center" vertical="center"/>
    </xf>
    <xf numFmtId="0" fontId="50" fillId="0" borderId="114" xfId="0" applyFont="1" applyBorder="1" applyAlignment="1">
      <alignment horizontal="center" vertical="center"/>
    </xf>
    <xf numFmtId="14" fontId="50" fillId="0" borderId="113" xfId="0" applyNumberFormat="1" applyFont="1" applyBorder="1" applyAlignment="1">
      <alignment horizontal="center" vertical="center"/>
    </xf>
    <xf numFmtId="14" fontId="50" fillId="0" borderId="114" xfId="0" applyNumberFormat="1" applyFont="1" applyBorder="1" applyAlignment="1">
      <alignment horizontal="center" vertical="center"/>
    </xf>
    <xf numFmtId="0" fontId="85" fillId="0" borderId="115" xfId="0" applyFont="1" applyBorder="1" applyAlignment="1">
      <alignment horizontal="center" vertical="center"/>
    </xf>
    <xf numFmtId="0" fontId="85" fillId="0" borderId="116" xfId="0" applyFont="1" applyBorder="1" applyAlignment="1">
      <alignment horizontal="center" vertical="center"/>
    </xf>
    <xf numFmtId="0" fontId="85" fillId="0" borderId="117" xfId="0" applyFont="1" applyBorder="1" applyAlignment="1">
      <alignment horizontal="center" vertical="center"/>
    </xf>
    <xf numFmtId="0" fontId="85" fillId="0" borderId="120" xfId="0" applyFont="1" applyBorder="1" applyAlignment="1">
      <alignment horizontal="center" vertical="center"/>
    </xf>
    <xf numFmtId="0" fontId="85" fillId="0" borderId="121" xfId="0" applyFont="1" applyBorder="1" applyAlignment="1">
      <alignment horizontal="center" vertical="center"/>
    </xf>
    <xf numFmtId="0" fontId="85" fillId="0" borderId="122" xfId="0" applyFont="1" applyBorder="1" applyAlignment="1">
      <alignment horizontal="center" vertical="center"/>
    </xf>
    <xf numFmtId="0" fontId="50" fillId="0" borderId="115" xfId="0" applyFont="1" applyBorder="1" applyAlignment="1">
      <alignment horizontal="center" vertical="center"/>
    </xf>
    <xf numFmtId="0" fontId="50" fillId="0" borderId="116" xfId="0" applyFont="1" applyBorder="1" applyAlignment="1">
      <alignment horizontal="center" vertical="center"/>
    </xf>
    <xf numFmtId="0" fontId="50" fillId="0" borderId="117" xfId="0" applyFont="1" applyBorder="1" applyAlignment="1">
      <alignment horizontal="center" vertical="center"/>
    </xf>
    <xf numFmtId="0" fontId="50" fillId="0" borderId="120" xfId="0" applyFont="1" applyBorder="1" applyAlignment="1">
      <alignment horizontal="center" vertical="center"/>
    </xf>
    <xf numFmtId="0" fontId="50" fillId="0" borderId="121" xfId="0" applyFont="1" applyBorder="1" applyAlignment="1">
      <alignment horizontal="center" vertical="center"/>
    </xf>
    <xf numFmtId="0" fontId="50" fillId="0" borderId="122" xfId="0" applyFont="1" applyBorder="1" applyAlignment="1">
      <alignment horizontal="center" vertical="center"/>
    </xf>
    <xf numFmtId="0" fontId="50" fillId="0" borderId="72" xfId="0" applyFont="1" applyBorder="1" applyAlignment="1">
      <alignment horizontal="center" vertical="center"/>
    </xf>
    <xf numFmtId="0" fontId="50" fillId="0" borderId="73" xfId="0" applyFont="1" applyBorder="1" applyAlignment="1">
      <alignment horizontal="center" vertical="center"/>
    </xf>
    <xf numFmtId="0" fontId="50" fillId="0" borderId="74" xfId="0" applyFont="1" applyBorder="1" applyAlignment="1">
      <alignment horizontal="center" vertical="center"/>
    </xf>
    <xf numFmtId="0" fontId="50" fillId="0" borderId="75" xfId="0" applyFont="1" applyBorder="1" applyAlignment="1">
      <alignment horizontal="center" vertical="center"/>
    </xf>
    <xf numFmtId="0" fontId="50" fillId="0" borderId="76" xfId="0" applyFont="1" applyBorder="1" applyAlignment="1">
      <alignment horizontal="center" vertical="center"/>
    </xf>
    <xf numFmtId="0" fontId="50" fillId="0" borderId="77" xfId="0" applyFont="1" applyBorder="1" applyAlignment="1">
      <alignment horizontal="center" vertical="center"/>
    </xf>
    <xf numFmtId="0" fontId="85" fillId="0" borderId="69" xfId="0" applyFont="1" applyBorder="1" applyAlignment="1">
      <alignment horizontal="center" vertical="center"/>
    </xf>
    <xf numFmtId="0" fontId="85" fillId="0" borderId="70" xfId="0" applyFont="1" applyBorder="1" applyAlignment="1">
      <alignment horizontal="center" vertical="center"/>
    </xf>
    <xf numFmtId="0" fontId="85" fillId="0" borderId="71" xfId="0" applyFont="1" applyBorder="1" applyAlignment="1">
      <alignment horizontal="center" vertical="center"/>
    </xf>
    <xf numFmtId="0" fontId="100" fillId="30" borderId="12" xfId="0" applyFont="1" applyFill="1" applyBorder="1" applyAlignment="1" applyProtection="1">
      <alignment horizontal="center" vertical="center" wrapText="1"/>
    </xf>
    <xf numFmtId="0" fontId="100" fillId="30" borderId="17" xfId="0" applyFont="1" applyFill="1" applyBorder="1" applyAlignment="1" applyProtection="1">
      <alignment horizontal="center" vertical="center" wrapText="1"/>
    </xf>
    <xf numFmtId="0" fontId="13" fillId="30" borderId="13" xfId="0" applyFont="1" applyFill="1" applyBorder="1" applyAlignment="1" applyProtection="1">
      <alignment horizontal="center" vertical="center" wrapText="1"/>
    </xf>
    <xf numFmtId="0" fontId="13" fillId="30" borderId="18" xfId="0" applyFont="1" applyFill="1" applyBorder="1" applyAlignment="1" applyProtection="1">
      <alignment horizontal="center" vertical="center" wrapText="1"/>
    </xf>
    <xf numFmtId="0" fontId="100" fillId="30" borderId="5" xfId="0" applyFont="1" applyFill="1" applyBorder="1" applyAlignment="1" applyProtection="1">
      <alignment horizontal="center" vertical="center" wrapText="1"/>
    </xf>
    <xf numFmtId="0" fontId="100" fillId="30" borderId="48" xfId="0" applyFont="1" applyFill="1" applyBorder="1" applyAlignment="1" applyProtection="1">
      <alignment horizontal="center" vertical="center" wrapText="1"/>
    </xf>
    <xf numFmtId="0" fontId="100" fillId="30" borderId="41" xfId="0" applyFont="1" applyFill="1" applyBorder="1" applyAlignment="1" applyProtection="1">
      <alignment horizontal="center" vertical="center" wrapText="1"/>
    </xf>
    <xf numFmtId="0" fontId="100" fillId="30" borderId="49" xfId="0" applyFont="1" applyFill="1" applyBorder="1" applyAlignment="1" applyProtection="1">
      <alignment horizontal="center" vertical="center" wrapText="1"/>
    </xf>
    <xf numFmtId="14" fontId="50" fillId="0" borderId="115" xfId="0" applyNumberFormat="1" applyFont="1" applyBorder="1" applyAlignment="1">
      <alignment horizontal="center" vertical="center"/>
    </xf>
    <xf numFmtId="14" fontId="50" fillId="0" borderId="117" xfId="0" applyNumberFormat="1" applyFont="1" applyBorder="1" applyAlignment="1">
      <alignment horizontal="center" vertical="center"/>
    </xf>
    <xf numFmtId="14" fontId="50" fillId="0" borderId="120" xfId="0" applyNumberFormat="1" applyFont="1" applyBorder="1" applyAlignment="1">
      <alignment horizontal="center" vertical="center"/>
    </xf>
    <xf numFmtId="14" fontId="50" fillId="0" borderId="122" xfId="0" applyNumberFormat="1" applyFont="1" applyBorder="1" applyAlignment="1">
      <alignment horizontal="center" vertical="center"/>
    </xf>
    <xf numFmtId="0" fontId="14" fillId="0" borderId="85" xfId="0" applyFont="1" applyBorder="1" applyAlignment="1" applyProtection="1">
      <alignment horizontal="center" vertical="center" wrapText="1"/>
      <protection locked="0"/>
    </xf>
    <xf numFmtId="0" fontId="100" fillId="30" borderId="23" xfId="0" applyFont="1" applyFill="1" applyBorder="1" applyAlignment="1" applyProtection="1">
      <alignment horizontal="center" vertical="center" wrapText="1"/>
    </xf>
    <xf numFmtId="0" fontId="100" fillId="30" borderId="16" xfId="0" applyFont="1" applyFill="1" applyBorder="1" applyAlignment="1" applyProtection="1">
      <alignment horizontal="center" vertical="center" wrapText="1"/>
    </xf>
    <xf numFmtId="0" fontId="85" fillId="0" borderId="72" xfId="0" applyFont="1" applyBorder="1" applyAlignment="1">
      <alignment horizontal="center" vertical="center"/>
    </xf>
    <xf numFmtId="0" fontId="85" fillId="0" borderId="73" xfId="0" applyFont="1" applyBorder="1" applyAlignment="1">
      <alignment horizontal="center" vertical="center"/>
    </xf>
    <xf numFmtId="0" fontId="85" fillId="0" borderId="74" xfId="0" applyFont="1" applyBorder="1" applyAlignment="1">
      <alignment horizontal="center" vertical="center"/>
    </xf>
    <xf numFmtId="0" fontId="85" fillId="0" borderId="75" xfId="0" applyFont="1" applyBorder="1" applyAlignment="1">
      <alignment horizontal="center" vertical="center"/>
    </xf>
    <xf numFmtId="0" fontId="85" fillId="0" borderId="76" xfId="0" applyFont="1" applyBorder="1" applyAlignment="1">
      <alignment horizontal="center" vertical="center"/>
    </xf>
    <xf numFmtId="0" fontId="85" fillId="0" borderId="77" xfId="0" applyFont="1" applyBorder="1" applyAlignment="1">
      <alignment horizontal="center" vertical="center"/>
    </xf>
    <xf numFmtId="0" fontId="19" fillId="28" borderId="19" xfId="0" applyFont="1" applyFill="1" applyBorder="1" applyAlignment="1">
      <alignment horizontal="center" vertical="center"/>
    </xf>
    <xf numFmtId="0" fontId="19" fillId="28" borderId="20" xfId="0" applyFont="1" applyFill="1" applyBorder="1" applyAlignment="1">
      <alignment horizontal="center" vertical="center"/>
    </xf>
    <xf numFmtId="0" fontId="19" fillId="28" borderId="21"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0" xfId="0" applyFont="1" applyFill="1" applyBorder="1" applyAlignment="1">
      <alignment horizontal="center" vertical="center" wrapText="1"/>
    </xf>
  </cellXfs>
  <cellStyles count="10">
    <cellStyle name="FONS" xfId="5" xr:uid="{00000000-0005-0000-0000-000000000000}"/>
    <cellStyle name="Hipervínculo" xfId="8" builtinId="8"/>
    <cellStyle name="Moneda 2" xfId="1" xr:uid="{00000000-0005-0000-0000-000002000000}"/>
    <cellStyle name="Moneda 2 2" xfId="3" xr:uid="{00000000-0005-0000-0000-000003000000}"/>
    <cellStyle name="Moneda 3" xfId="2" xr:uid="{00000000-0005-0000-0000-000004000000}"/>
    <cellStyle name="Neutral" xfId="4" builtinId="28"/>
    <cellStyle name="Normal" xfId="0" builtinId="0"/>
    <cellStyle name="Normal 2" xfId="6" xr:uid="{00000000-0005-0000-0000-000007000000}"/>
    <cellStyle name="Normal 3" xfId="9" xr:uid="{00000000-0005-0000-0000-000008000000}"/>
    <cellStyle name="Títol1" xfId="7" xr:uid="{00000000-0005-0000-0000-000009000000}"/>
  </cellStyles>
  <dxfs count="95">
    <dxf>
      <font>
        <b/>
        <i val="0"/>
        <color theme="0"/>
      </font>
      <fill>
        <patternFill>
          <bgColor rgb="FFFF0000"/>
        </patternFill>
      </fill>
    </dxf>
    <dxf>
      <font>
        <b/>
        <i val="0"/>
        <color theme="1" tint="0.34998626667073579"/>
      </font>
      <fill>
        <patternFill>
          <bgColor rgb="FFFFFF00"/>
        </patternFill>
      </fill>
    </dxf>
    <dxf>
      <font>
        <b/>
        <i val="0"/>
        <color theme="0"/>
      </font>
      <fill>
        <patternFill>
          <bgColor rgb="FF92D050"/>
        </patternFill>
      </fill>
    </dxf>
    <dxf>
      <font>
        <b val="0"/>
        <i val="0"/>
        <color auto="1"/>
      </font>
      <fill>
        <patternFill>
          <bgColor rgb="FF33CC33"/>
        </patternFill>
      </fill>
    </dxf>
    <dxf>
      <font>
        <color theme="0"/>
      </font>
      <fill>
        <patternFill>
          <bgColor rgb="FF00B050"/>
        </patternFill>
      </fill>
    </dxf>
    <dxf>
      <fill>
        <patternFill>
          <bgColor rgb="FF92D050"/>
        </patternFill>
      </fill>
    </dxf>
    <dxf>
      <fill>
        <patternFill>
          <bgColor rgb="FF66FF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ill>
        <patternFill>
          <bgColor rgb="FFCCFFCC"/>
        </patternFill>
      </fill>
    </dxf>
    <dxf>
      <fill>
        <patternFill>
          <bgColor rgb="FF66FF33"/>
        </patternFill>
      </fill>
    </dxf>
    <dxf>
      <fill>
        <patternFill>
          <bgColor rgb="FF92D050"/>
        </patternFill>
      </fill>
    </dxf>
    <dxf>
      <fill>
        <patternFill>
          <bgColor rgb="FF33CC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color theme="0"/>
      </font>
      <fill>
        <patternFill>
          <bgColor theme="0"/>
        </patternFill>
      </fill>
    </dxf>
    <dxf>
      <font>
        <b/>
        <i val="0"/>
        <color theme="0"/>
      </font>
      <fill>
        <patternFill>
          <bgColor rgb="FFFF0000"/>
        </patternFill>
      </fill>
    </dxf>
    <dxf>
      <font>
        <b/>
        <i val="0"/>
        <color theme="1" tint="0.34998626667073579"/>
      </font>
      <fill>
        <patternFill>
          <bgColor rgb="FFFFFF00"/>
        </patternFill>
      </fill>
    </dxf>
    <dxf>
      <font>
        <b/>
        <i val="0"/>
        <color theme="0"/>
      </font>
      <fill>
        <patternFill>
          <bgColor rgb="FF92D050"/>
        </patternFill>
      </fill>
    </dxf>
    <dxf>
      <font>
        <b val="0"/>
        <i val="0"/>
        <color auto="1"/>
      </font>
      <fill>
        <patternFill>
          <bgColor rgb="FF33CC33"/>
        </patternFill>
      </fill>
    </dxf>
    <dxf>
      <font>
        <color theme="0"/>
      </font>
      <fill>
        <patternFill>
          <bgColor rgb="FF00B050"/>
        </patternFill>
      </fill>
    </dxf>
    <dxf>
      <fill>
        <patternFill>
          <bgColor rgb="FF92D050"/>
        </patternFill>
      </fill>
    </dxf>
    <dxf>
      <fill>
        <patternFill>
          <bgColor rgb="FF66FF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color theme="0"/>
      </font>
      <fill>
        <patternFill>
          <bgColor theme="0"/>
        </patternFill>
      </fill>
    </dxf>
    <dxf>
      <font>
        <b/>
        <i val="0"/>
        <color theme="0"/>
      </font>
      <fill>
        <patternFill>
          <bgColor rgb="FFFF0000"/>
        </patternFill>
      </fill>
    </dxf>
    <dxf>
      <font>
        <b/>
        <i val="0"/>
        <color theme="1" tint="0.34998626667073579"/>
      </font>
      <fill>
        <patternFill>
          <bgColor rgb="FFFFFF00"/>
        </patternFill>
      </fill>
    </dxf>
    <dxf>
      <font>
        <b/>
        <i val="0"/>
        <color theme="0"/>
      </font>
      <fill>
        <patternFill>
          <bgColor rgb="FF92D050"/>
        </patternFill>
      </fill>
    </dxf>
    <dxf>
      <font>
        <b val="0"/>
        <i val="0"/>
        <color auto="1"/>
      </font>
      <fill>
        <patternFill>
          <bgColor rgb="FF33CC33"/>
        </patternFill>
      </fill>
    </dxf>
    <dxf>
      <font>
        <color theme="0"/>
      </font>
      <fill>
        <patternFill>
          <bgColor rgb="FF00B050"/>
        </patternFill>
      </fill>
    </dxf>
    <dxf>
      <fill>
        <patternFill>
          <bgColor rgb="FF92D050"/>
        </patternFill>
      </fill>
    </dxf>
    <dxf>
      <fill>
        <patternFill>
          <bgColor rgb="FF66FF33"/>
        </patternFill>
      </fill>
    </dxf>
    <dxf>
      <fill>
        <patternFill>
          <bgColor rgb="FFCCFFCC"/>
        </patternFill>
      </fill>
    </dxf>
    <dxf>
      <font>
        <b/>
        <i val="0"/>
        <color theme="0" tint="-0.499984740745262"/>
      </font>
      <fill>
        <patternFill>
          <bgColor theme="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ill>
        <patternFill>
          <bgColor rgb="FFCCFFCC"/>
        </patternFill>
      </fill>
    </dxf>
    <dxf>
      <fill>
        <patternFill>
          <bgColor rgb="FF66FF33"/>
        </patternFill>
      </fill>
    </dxf>
    <dxf>
      <fill>
        <patternFill>
          <bgColor rgb="FF92D050"/>
        </patternFill>
      </fill>
    </dxf>
    <dxf>
      <fill>
        <patternFill>
          <bgColor rgb="FF33CC33"/>
        </patternFill>
      </fill>
    </dxf>
    <dxf>
      <fill>
        <patternFill>
          <bgColor rgb="FFCCFFCC"/>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92D050"/>
        </patternFill>
      </fill>
    </dxf>
    <dxf>
      <font>
        <b/>
        <i val="0"/>
        <color theme="1" tint="0.34998626667073579"/>
      </font>
      <fill>
        <patternFill>
          <bgColor rgb="FFFFFF00"/>
        </patternFill>
      </fill>
    </dxf>
    <dxf>
      <font>
        <b/>
        <i val="0"/>
        <color theme="0"/>
      </font>
      <fill>
        <patternFill>
          <bgColor rgb="FFFF0000"/>
        </patternFill>
      </fill>
    </dxf>
    <dxf>
      <font>
        <color theme="0"/>
      </font>
      <fill>
        <patternFill>
          <bgColor theme="0"/>
        </patternFill>
      </fill>
    </dxf>
    <dxf>
      <font>
        <color theme="0"/>
      </font>
      <fill>
        <patternFill>
          <bgColor rgb="FF002060"/>
        </patternFill>
      </fill>
    </dxf>
    <dxf>
      <font>
        <color theme="0"/>
      </font>
      <fill>
        <patternFill>
          <bgColor rgb="FF0000CC"/>
        </patternFill>
      </fill>
    </dxf>
    <dxf>
      <fill>
        <patternFill>
          <bgColor rgb="FFFFFF00"/>
        </patternFill>
      </fill>
    </dxf>
    <dxf>
      <fill>
        <patternFill>
          <bgColor rgb="FFFF000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colors>
    <mruColors>
      <color rgb="FFB2B2B2"/>
      <color rgb="FFD5007F"/>
      <color rgb="FFD500D9"/>
      <color rgb="FF950054"/>
      <color rgb="FF1D1D1B"/>
      <color rgb="FF003300"/>
      <color rgb="FF006600"/>
      <color rgb="FFC0C0C0"/>
      <color rgb="FF66FF33"/>
      <color rgb="FFED9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'2b. Matriz Posicionamiento'!$AB$35</c:f>
              <c:strCache>
                <c:ptCount val="1"/>
                <c:pt idx="0">
                  <c:v>Y</c:v>
                </c:pt>
              </c:strCache>
            </c:strRef>
          </c:tx>
          <c:spPr>
            <a:ln w="25400" cap="rnd">
              <a:solidFill>
                <a:schemeClr val="accent1"/>
              </a:solidFill>
              <a:round/>
            </a:ln>
            <a:effectLst/>
          </c:spPr>
          <c:marker>
            <c:symbol val="circle"/>
            <c:size val="5"/>
            <c:spPr>
              <a:solidFill>
                <a:schemeClr val="accent1"/>
              </a:solidFill>
              <a:ln w="9525">
                <a:solidFill>
                  <a:schemeClr val="accent1"/>
                </a:solidFill>
              </a:ln>
              <a:effectLst/>
            </c:spPr>
          </c:marker>
          <c:dPt>
            <c:idx val="18"/>
            <c:marker>
              <c:spPr>
                <a:solidFill>
                  <a:schemeClr val="accent1"/>
                </a:solidFill>
                <a:ln w="25400">
                  <a:solidFill>
                    <a:schemeClr val="accent1"/>
                  </a:solidFill>
                </a:ln>
                <a:effectLst/>
              </c:spPr>
            </c:marker>
            <c:bubble3D val="0"/>
            <c:extLst>
              <c:ext xmlns:c16="http://schemas.microsoft.com/office/drawing/2014/chart" uri="{C3380CC4-5D6E-409C-BE32-E72D297353CC}">
                <c16:uniqueId val="{00000000-F356-41F2-884F-96D09EBC4310}"/>
              </c:ext>
            </c:extLst>
          </c:dPt>
          <c:xVal>
            <c:numRef>
              <c:f>'2b. Matriz Posicionamiento'!$AC$34:$BM$34</c:f>
              <c:numCache>
                <c:formatCode>General</c:formatCode>
                <c:ptCount val="37"/>
                <c:pt idx="18" formatCode="0.0">
                  <c:v>0.90909090909090917</c:v>
                </c:pt>
              </c:numCache>
            </c:numRef>
          </c:xVal>
          <c:yVal>
            <c:numRef>
              <c:f>'2b. Matriz Posicionamiento'!$AC$35:$BM$35</c:f>
              <c:numCache>
                <c:formatCode>General</c:formatCode>
                <c:ptCount val="37"/>
                <c:pt idx="18" formatCode="0.0">
                  <c:v>1.7142857142857135</c:v>
                </c:pt>
              </c:numCache>
            </c:numRef>
          </c:yVal>
          <c:smooth val="0"/>
          <c:extLst>
            <c:ext xmlns:c16="http://schemas.microsoft.com/office/drawing/2014/chart" uri="{C3380CC4-5D6E-409C-BE32-E72D297353CC}">
              <c16:uniqueId val="{00000001-F356-41F2-884F-96D09EBC4310}"/>
            </c:ext>
          </c:extLst>
        </c:ser>
        <c:dLbls>
          <c:showLegendKey val="0"/>
          <c:showVal val="0"/>
          <c:showCatName val="0"/>
          <c:showSerName val="0"/>
          <c:showPercent val="0"/>
          <c:showBubbleSize val="0"/>
        </c:dLbls>
        <c:axId val="280853888"/>
        <c:axId val="280855680"/>
      </c:scatterChart>
      <c:valAx>
        <c:axId val="280853888"/>
        <c:scaling>
          <c:orientation val="minMax"/>
          <c:max val="6"/>
          <c:min val="-6"/>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80855680"/>
        <c:crossesAt val="0"/>
        <c:crossBetween val="midCat"/>
        <c:majorUnit val="3"/>
        <c:minorUnit val="0.60000000000000009"/>
      </c:valAx>
      <c:valAx>
        <c:axId val="280855680"/>
        <c:scaling>
          <c:orientation val="minMax"/>
          <c:max val="12"/>
          <c:min val="-12"/>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80853888"/>
        <c:crosses val="autoZero"/>
        <c:crossBetween val="midCat"/>
        <c:majorUnit val="6"/>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1a. Misi&#243;n, Visi&#243;n'!A1"/></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1b. Pol&#237;tica y Objetivos'!&#193;rea_de_impresi&#243;n"/></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2a. An&#225;lisis Foda'!A1"/></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DICE!A1"/><Relationship Id="rId1" Type="http://schemas.openxmlformats.org/officeDocument/2006/relationships/hyperlink" Target="#'2b. Matriz Posicionamiento'!A1"/></Relationships>
</file>

<file path=xl/drawings/_rels/drawing6.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hyperlink" Target="#'3a.Matr&#237;z de Partes Interesadas'!A1"/><Relationship Id="rId1" Type="http://schemas.openxmlformats.org/officeDocument/2006/relationships/chart" Target="../charts/chart1.xml"/><Relationship Id="rId4"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hyperlink" Target="#'4a. Par&#225;metros de riesgo'!A1"/><Relationship Id="rId2" Type="http://schemas.openxmlformats.org/officeDocument/2006/relationships/hyperlink" Target="#INDICE!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hyperlink" Target="#INDICE!A1"/><Relationship Id="rId2" Type="http://schemas.openxmlformats.org/officeDocument/2006/relationships/image" Target="../media/image1.png"/><Relationship Id="rId1" Type="http://schemas.openxmlformats.org/officeDocument/2006/relationships/hyperlink" Target="#'4b. Matriz - Contexto'!A1"/></Relationships>
</file>

<file path=xl/drawings/_rels/drawing9.xml.rels><?xml version="1.0" encoding="UTF-8" standalone="yes"?>
<Relationships xmlns="http://schemas.openxmlformats.org/package/2006/relationships"><Relationship Id="rId2" Type="http://schemas.openxmlformats.org/officeDocument/2006/relationships/hyperlink" Target="#INDICE!A1"/><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314324</xdr:colOff>
      <xdr:row>1</xdr:row>
      <xdr:rowOff>114300</xdr:rowOff>
    </xdr:from>
    <xdr:to>
      <xdr:col>1</xdr:col>
      <xdr:colOff>476249</xdr:colOff>
      <xdr:row>3</xdr:row>
      <xdr:rowOff>123825</xdr:rowOff>
    </xdr:to>
    <xdr:pic>
      <xdr:nvPicPr>
        <xdr:cNvPr id="3"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4" y="114300"/>
          <a:ext cx="1209675" cy="65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201084</xdr:colOff>
      <xdr:row>4</xdr:row>
      <xdr:rowOff>0</xdr:rowOff>
    </xdr:from>
    <xdr:to>
      <xdr:col>14</xdr:col>
      <xdr:colOff>734785</xdr:colOff>
      <xdr:row>5</xdr:row>
      <xdr:rowOff>299357</xdr:rowOff>
    </xdr:to>
    <xdr:sp macro="" textlink="">
      <xdr:nvSpPr>
        <xdr:cNvPr id="3" name="Flecha derecha 2">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11324167" y="1322917"/>
          <a:ext cx="1295701" cy="733273"/>
        </a:xfrm>
        <a:prstGeom prst="rightArrow">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100" b="1">
              <a:latin typeface="Arial" panose="020B0604020202020204" pitchFamily="34" charset="0"/>
              <a:cs typeface="Arial" panose="020B0604020202020204" pitchFamily="34" charset="0"/>
            </a:rPr>
            <a:t>SIGUIENTE</a:t>
          </a:r>
        </a:p>
      </xdr:txBody>
    </xdr:sp>
    <xdr:clientData/>
  </xdr:twoCellAnchor>
  <xdr:twoCellAnchor>
    <xdr:from>
      <xdr:col>0</xdr:col>
      <xdr:colOff>95250</xdr:colOff>
      <xdr:row>4</xdr:row>
      <xdr:rowOff>52917</xdr:rowOff>
    </xdr:from>
    <xdr:to>
      <xdr:col>0</xdr:col>
      <xdr:colOff>1006929</xdr:colOff>
      <xdr:row>5</xdr:row>
      <xdr:rowOff>148166</xdr:rowOff>
    </xdr:to>
    <xdr:sp macro="" textlink="">
      <xdr:nvSpPr>
        <xdr:cNvPr id="2" name="Elipse 1">
          <a:hlinkClick xmlns:r="http://schemas.openxmlformats.org/officeDocument/2006/relationships" r:id="rId2"/>
          <a:extLst>
            <a:ext uri="{FF2B5EF4-FFF2-40B4-BE49-F238E27FC236}">
              <a16:creationId xmlns:a16="http://schemas.microsoft.com/office/drawing/2014/main" id="{00000000-0008-0000-0100-000002000000}"/>
            </a:ext>
          </a:extLst>
        </xdr:cNvPr>
        <xdr:cNvSpPr/>
      </xdr:nvSpPr>
      <xdr:spPr>
        <a:xfrm>
          <a:off x="95250" y="216203"/>
          <a:ext cx="911679" cy="530677"/>
        </a:xfrm>
        <a:prstGeom prst="ellipse">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1</xdr:col>
      <xdr:colOff>271990</xdr:colOff>
      <xdr:row>0</xdr:row>
      <xdr:rowOff>71967</xdr:rowOff>
    </xdr:from>
    <xdr:to>
      <xdr:col>2</xdr:col>
      <xdr:colOff>433915</xdr:colOff>
      <xdr:row>2</xdr:row>
      <xdr:rowOff>81492</xdr:rowOff>
    </xdr:to>
    <xdr:pic>
      <xdr:nvPicPr>
        <xdr:cNvPr id="4"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09157" y="71967"/>
          <a:ext cx="881591" cy="348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431800</xdr:colOff>
      <xdr:row>4</xdr:row>
      <xdr:rowOff>152400</xdr:rowOff>
    </xdr:from>
    <xdr:to>
      <xdr:col>9</xdr:col>
      <xdr:colOff>1676400</xdr:colOff>
      <xdr:row>6</xdr:row>
      <xdr:rowOff>192617</xdr:rowOff>
    </xdr:to>
    <xdr:sp macro="" textlink="">
      <xdr:nvSpPr>
        <xdr:cNvPr id="4" name="Flecha derecha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21005800" y="152400"/>
          <a:ext cx="1244600" cy="624417"/>
        </a:xfrm>
        <a:prstGeom prst="rightArrow">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539750</xdr:colOff>
      <xdr:row>4</xdr:row>
      <xdr:rowOff>63500</xdr:rowOff>
    </xdr:from>
    <xdr:to>
      <xdr:col>0</xdr:col>
      <xdr:colOff>1606550</xdr:colOff>
      <xdr:row>6</xdr:row>
      <xdr:rowOff>266700</xdr:rowOff>
    </xdr:to>
    <xdr:sp macro="" textlink="">
      <xdr:nvSpPr>
        <xdr:cNvPr id="8" name="Elipse 7">
          <a:hlinkClick xmlns:r="http://schemas.openxmlformats.org/officeDocument/2006/relationships" r:id="rId2"/>
          <a:extLst>
            <a:ext uri="{FF2B5EF4-FFF2-40B4-BE49-F238E27FC236}">
              <a16:creationId xmlns:a16="http://schemas.microsoft.com/office/drawing/2014/main" id="{00000000-0008-0000-0200-000008000000}"/>
            </a:ext>
          </a:extLst>
        </xdr:cNvPr>
        <xdr:cNvSpPr/>
      </xdr:nvSpPr>
      <xdr:spPr>
        <a:xfrm>
          <a:off x="539750" y="63500"/>
          <a:ext cx="1066800" cy="774700"/>
        </a:xfrm>
        <a:prstGeom prst="ellipse">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256115</xdr:colOff>
      <xdr:row>0</xdr:row>
      <xdr:rowOff>87842</xdr:rowOff>
    </xdr:from>
    <xdr:to>
      <xdr:col>0</xdr:col>
      <xdr:colOff>1535471</xdr:colOff>
      <xdr:row>2</xdr:row>
      <xdr:rowOff>174625</xdr:rowOff>
    </xdr:to>
    <xdr:pic>
      <xdr:nvPicPr>
        <xdr:cNvPr id="6"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115" y="87842"/>
          <a:ext cx="1279356" cy="5630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254000</xdr:colOff>
      <xdr:row>5</xdr:row>
      <xdr:rowOff>79375</xdr:rowOff>
    </xdr:from>
    <xdr:to>
      <xdr:col>14</xdr:col>
      <xdr:colOff>762000</xdr:colOff>
      <xdr:row>6</xdr:row>
      <xdr:rowOff>295275</xdr:rowOff>
    </xdr:to>
    <xdr:sp macro="" textlink="">
      <xdr:nvSpPr>
        <xdr:cNvPr id="10" name="Flecha derecha 9">
          <a:hlinkClick xmlns:r="http://schemas.openxmlformats.org/officeDocument/2006/relationships" r:id="rId1"/>
          <a:extLst>
            <a:ext uri="{FF2B5EF4-FFF2-40B4-BE49-F238E27FC236}">
              <a16:creationId xmlns:a16="http://schemas.microsoft.com/office/drawing/2014/main" id="{00000000-0008-0000-0300-00000A000000}"/>
            </a:ext>
          </a:extLst>
        </xdr:cNvPr>
        <xdr:cNvSpPr/>
      </xdr:nvSpPr>
      <xdr:spPr>
        <a:xfrm>
          <a:off x="11652250" y="460375"/>
          <a:ext cx="1333500" cy="596900"/>
        </a:xfrm>
        <a:prstGeom prst="rightArrow">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222250</xdr:colOff>
      <xdr:row>5</xdr:row>
      <xdr:rowOff>0</xdr:rowOff>
    </xdr:from>
    <xdr:to>
      <xdr:col>0</xdr:col>
      <xdr:colOff>1212850</xdr:colOff>
      <xdr:row>6</xdr:row>
      <xdr:rowOff>349250</xdr:rowOff>
    </xdr:to>
    <xdr:sp macro="" textlink="">
      <xdr:nvSpPr>
        <xdr:cNvPr id="3" name="Elipse 2">
          <a:hlinkClick xmlns:r="http://schemas.openxmlformats.org/officeDocument/2006/relationships" r:id="rId2"/>
          <a:extLst>
            <a:ext uri="{FF2B5EF4-FFF2-40B4-BE49-F238E27FC236}">
              <a16:creationId xmlns:a16="http://schemas.microsoft.com/office/drawing/2014/main" id="{00000000-0008-0000-0300-000003000000}"/>
            </a:ext>
          </a:extLst>
        </xdr:cNvPr>
        <xdr:cNvSpPr/>
      </xdr:nvSpPr>
      <xdr:spPr>
        <a:xfrm>
          <a:off x="222250" y="336550"/>
          <a:ext cx="990600" cy="774700"/>
        </a:xfrm>
        <a:prstGeom prst="ellipse">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256115</xdr:colOff>
      <xdr:row>0</xdr:row>
      <xdr:rowOff>87842</xdr:rowOff>
    </xdr:from>
    <xdr:to>
      <xdr:col>1</xdr:col>
      <xdr:colOff>381000</xdr:colOff>
      <xdr:row>3</xdr:row>
      <xdr:rowOff>127436</xdr:rowOff>
    </xdr:to>
    <xdr:pic>
      <xdr:nvPicPr>
        <xdr:cNvPr id="4"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115" y="87842"/>
          <a:ext cx="1521885" cy="7539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23</xdr:col>
      <xdr:colOff>166687</xdr:colOff>
      <xdr:row>7</xdr:row>
      <xdr:rowOff>107156</xdr:rowOff>
    </xdr:from>
    <xdr:to>
      <xdr:col>24</xdr:col>
      <xdr:colOff>304270</xdr:colOff>
      <xdr:row>7</xdr:row>
      <xdr:rowOff>541073</xdr:rowOff>
    </xdr:to>
    <xdr:sp macro="" textlink="">
      <xdr:nvSpPr>
        <xdr:cNvPr id="2" name="Flecha derecha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23655337" y="1993106"/>
          <a:ext cx="1185333" cy="433917"/>
        </a:xfrm>
        <a:prstGeom prst="rightArrow">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304270</xdr:colOff>
      <xdr:row>7</xdr:row>
      <xdr:rowOff>0</xdr:rowOff>
    </xdr:from>
    <xdr:to>
      <xdr:col>0</xdr:col>
      <xdr:colOff>1294870</xdr:colOff>
      <xdr:row>9</xdr:row>
      <xdr:rowOff>126471</xdr:rowOff>
    </xdr:to>
    <xdr:sp macro="" textlink="">
      <xdr:nvSpPr>
        <xdr:cNvPr id="3" name="Elipse 2">
          <a:hlinkClick xmlns:r="http://schemas.openxmlformats.org/officeDocument/2006/relationships" r:id="rId2"/>
          <a:extLst>
            <a:ext uri="{FF2B5EF4-FFF2-40B4-BE49-F238E27FC236}">
              <a16:creationId xmlns:a16="http://schemas.microsoft.com/office/drawing/2014/main" id="{00000000-0008-0000-0400-000003000000}"/>
            </a:ext>
          </a:extLst>
        </xdr:cNvPr>
        <xdr:cNvSpPr/>
      </xdr:nvSpPr>
      <xdr:spPr>
        <a:xfrm>
          <a:off x="304270" y="1885950"/>
          <a:ext cx="990600" cy="755121"/>
        </a:xfrm>
        <a:prstGeom prst="ellipse">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103715</xdr:colOff>
      <xdr:row>0</xdr:row>
      <xdr:rowOff>106892</xdr:rowOff>
    </xdr:from>
    <xdr:to>
      <xdr:col>1</xdr:col>
      <xdr:colOff>3290454</xdr:colOff>
      <xdr:row>4</xdr:row>
      <xdr:rowOff>375087</xdr:rowOff>
    </xdr:to>
    <xdr:pic>
      <xdr:nvPicPr>
        <xdr:cNvPr id="4"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3715" y="106892"/>
          <a:ext cx="3446512" cy="1636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169471</xdr:colOff>
      <xdr:row>12</xdr:row>
      <xdr:rowOff>96837</xdr:rowOff>
    </xdr:from>
    <xdr:to>
      <xdr:col>23</xdr:col>
      <xdr:colOff>45357</xdr:colOff>
      <xdr:row>28</xdr:row>
      <xdr:rowOff>639536</xdr:rowOff>
    </xdr:to>
    <xdr:grpSp>
      <xdr:nvGrpSpPr>
        <xdr:cNvPr id="2" name="Grupo 1">
          <a:extLst>
            <a:ext uri="{FF2B5EF4-FFF2-40B4-BE49-F238E27FC236}">
              <a16:creationId xmlns:a16="http://schemas.microsoft.com/office/drawing/2014/main" id="{00000000-0008-0000-0500-000002000000}"/>
            </a:ext>
          </a:extLst>
        </xdr:cNvPr>
        <xdr:cNvGrpSpPr/>
      </xdr:nvGrpSpPr>
      <xdr:grpSpPr>
        <a:xfrm>
          <a:off x="2237757" y="3233284"/>
          <a:ext cx="4930940" cy="4100966"/>
          <a:chOff x="1598221" y="2777443"/>
          <a:chExt cx="4543136" cy="4107771"/>
        </a:xfrm>
      </xdr:grpSpPr>
      <xdr:graphicFrame macro="">
        <xdr:nvGraphicFramePr>
          <xdr:cNvPr id="3" name="Gráfico 2">
            <a:extLst>
              <a:ext uri="{FF2B5EF4-FFF2-40B4-BE49-F238E27FC236}">
                <a16:creationId xmlns:a16="http://schemas.microsoft.com/office/drawing/2014/main" id="{00000000-0008-0000-0500-000003000000}"/>
              </a:ext>
            </a:extLst>
          </xdr:cNvPr>
          <xdr:cNvGraphicFramePr/>
        </xdr:nvGraphicFramePr>
        <xdr:xfrm>
          <a:off x="1598221" y="2777443"/>
          <a:ext cx="4543136" cy="410777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Rectángulo 3">
            <a:extLst>
              <a:ext uri="{FF2B5EF4-FFF2-40B4-BE49-F238E27FC236}">
                <a16:creationId xmlns:a16="http://schemas.microsoft.com/office/drawing/2014/main" id="{00000000-0008-0000-0500-000004000000}"/>
              </a:ext>
            </a:extLst>
          </xdr:cNvPr>
          <xdr:cNvSpPr/>
        </xdr:nvSpPr>
        <xdr:spPr>
          <a:xfrm>
            <a:off x="3878036" y="3875314"/>
            <a:ext cx="1054553" cy="955221"/>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A</a:t>
            </a:r>
          </a:p>
        </xdr:txBody>
      </xdr:sp>
      <xdr:sp macro="" textlink="">
        <xdr:nvSpPr>
          <xdr:cNvPr id="5" name="Rectángulo 4">
            <a:extLst>
              <a:ext uri="{FF2B5EF4-FFF2-40B4-BE49-F238E27FC236}">
                <a16:creationId xmlns:a16="http://schemas.microsoft.com/office/drawing/2014/main" id="{00000000-0008-0000-0500-000005000000}"/>
              </a:ext>
            </a:extLst>
          </xdr:cNvPr>
          <xdr:cNvSpPr/>
        </xdr:nvSpPr>
        <xdr:spPr>
          <a:xfrm>
            <a:off x="3878036" y="4827814"/>
            <a:ext cx="1054553" cy="952500"/>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A</a:t>
            </a:r>
          </a:p>
        </xdr:txBody>
      </xdr:sp>
      <xdr:sp macro="" textlink="">
        <xdr:nvSpPr>
          <xdr:cNvPr id="6" name="Rectángulo 5">
            <a:extLst>
              <a:ext uri="{FF2B5EF4-FFF2-40B4-BE49-F238E27FC236}">
                <a16:creationId xmlns:a16="http://schemas.microsoft.com/office/drawing/2014/main" id="{00000000-0008-0000-0500-000006000000}"/>
              </a:ext>
            </a:extLst>
          </xdr:cNvPr>
          <xdr:cNvSpPr/>
        </xdr:nvSpPr>
        <xdr:spPr>
          <a:xfrm>
            <a:off x="2827734" y="3867321"/>
            <a:ext cx="1048033" cy="955221"/>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A</a:t>
            </a:r>
          </a:p>
        </xdr:txBody>
      </xdr:sp>
      <xdr:sp macro="" textlink="">
        <xdr:nvSpPr>
          <xdr:cNvPr id="7" name="Rectángulo 6">
            <a:extLst>
              <a:ext uri="{FF2B5EF4-FFF2-40B4-BE49-F238E27FC236}">
                <a16:creationId xmlns:a16="http://schemas.microsoft.com/office/drawing/2014/main" id="{00000000-0008-0000-0500-000007000000}"/>
              </a:ext>
            </a:extLst>
          </xdr:cNvPr>
          <xdr:cNvSpPr/>
        </xdr:nvSpPr>
        <xdr:spPr>
          <a:xfrm>
            <a:off x="2827734" y="4827814"/>
            <a:ext cx="1048033" cy="952500"/>
          </a:xfrm>
          <a:prstGeom prst="rect">
            <a:avLst/>
          </a:prstGeom>
          <a:solidFill>
            <a:schemeClr val="accent1">
              <a:alpha val="14000"/>
            </a:scheme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A</a:t>
            </a:r>
          </a:p>
        </xdr:txBody>
      </xdr:sp>
      <xdr:sp macro="" textlink="">
        <xdr:nvSpPr>
          <xdr:cNvPr id="8" name="Rectángulo 7">
            <a:extLst>
              <a:ext uri="{FF2B5EF4-FFF2-40B4-BE49-F238E27FC236}">
                <a16:creationId xmlns:a16="http://schemas.microsoft.com/office/drawing/2014/main" id="{00000000-0008-0000-0500-000008000000}"/>
              </a:ext>
            </a:extLst>
          </xdr:cNvPr>
          <xdr:cNvSpPr/>
        </xdr:nvSpPr>
        <xdr:spPr>
          <a:xfrm>
            <a:off x="4929708" y="3874813"/>
            <a:ext cx="1037318"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B</a:t>
            </a:r>
          </a:p>
        </xdr:txBody>
      </xdr:sp>
      <xdr:sp macro="" textlink="">
        <xdr:nvSpPr>
          <xdr:cNvPr id="9" name="Rectángulo 8">
            <a:extLst>
              <a:ext uri="{FF2B5EF4-FFF2-40B4-BE49-F238E27FC236}">
                <a16:creationId xmlns:a16="http://schemas.microsoft.com/office/drawing/2014/main" id="{00000000-0008-0000-0500-000009000000}"/>
              </a:ext>
            </a:extLst>
          </xdr:cNvPr>
          <xdr:cNvSpPr/>
        </xdr:nvSpPr>
        <xdr:spPr>
          <a:xfrm>
            <a:off x="3878036" y="2918732"/>
            <a:ext cx="1054553" cy="956582"/>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D</a:t>
            </a:r>
          </a:p>
        </xdr:txBody>
      </xdr:sp>
      <xdr:sp macro="" textlink="">
        <xdr:nvSpPr>
          <xdr:cNvPr id="10" name="Rectángulo 9">
            <a:extLst>
              <a:ext uri="{FF2B5EF4-FFF2-40B4-BE49-F238E27FC236}">
                <a16:creationId xmlns:a16="http://schemas.microsoft.com/office/drawing/2014/main" id="{00000000-0008-0000-0500-00000A000000}"/>
              </a:ext>
            </a:extLst>
          </xdr:cNvPr>
          <xdr:cNvSpPr/>
        </xdr:nvSpPr>
        <xdr:spPr>
          <a:xfrm>
            <a:off x="4931230" y="2921453"/>
            <a:ext cx="1037318" cy="951479"/>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C</a:t>
            </a:r>
          </a:p>
        </xdr:txBody>
      </xdr:sp>
      <xdr:sp macro="" textlink="">
        <xdr:nvSpPr>
          <xdr:cNvPr id="11" name="Rectángulo 10">
            <a:extLst>
              <a:ext uri="{FF2B5EF4-FFF2-40B4-BE49-F238E27FC236}">
                <a16:creationId xmlns:a16="http://schemas.microsoft.com/office/drawing/2014/main" id="{00000000-0008-0000-0500-00000B000000}"/>
              </a:ext>
            </a:extLst>
          </xdr:cNvPr>
          <xdr:cNvSpPr/>
        </xdr:nvSpPr>
        <xdr:spPr>
          <a:xfrm>
            <a:off x="4931310" y="4833087"/>
            <a:ext cx="1037318"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B</a:t>
            </a:r>
          </a:p>
        </xdr:txBody>
      </xdr:sp>
      <xdr:sp macro="" textlink="">
        <xdr:nvSpPr>
          <xdr:cNvPr id="12" name="Rectángulo 11">
            <a:extLst>
              <a:ext uri="{FF2B5EF4-FFF2-40B4-BE49-F238E27FC236}">
                <a16:creationId xmlns:a16="http://schemas.microsoft.com/office/drawing/2014/main" id="{00000000-0008-0000-0500-00000C000000}"/>
              </a:ext>
            </a:extLst>
          </xdr:cNvPr>
          <xdr:cNvSpPr/>
        </xdr:nvSpPr>
        <xdr:spPr>
          <a:xfrm>
            <a:off x="1789341" y="3878035"/>
            <a:ext cx="1038393"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B</a:t>
            </a:r>
          </a:p>
        </xdr:txBody>
      </xdr:sp>
      <xdr:sp macro="" textlink="">
        <xdr:nvSpPr>
          <xdr:cNvPr id="13" name="Rectángulo 12">
            <a:extLst>
              <a:ext uri="{FF2B5EF4-FFF2-40B4-BE49-F238E27FC236}">
                <a16:creationId xmlns:a16="http://schemas.microsoft.com/office/drawing/2014/main" id="{00000000-0008-0000-0500-00000D000000}"/>
              </a:ext>
            </a:extLst>
          </xdr:cNvPr>
          <xdr:cNvSpPr/>
        </xdr:nvSpPr>
        <xdr:spPr>
          <a:xfrm>
            <a:off x="1788489" y="4830534"/>
            <a:ext cx="1039245" cy="952500"/>
          </a:xfrm>
          <a:prstGeom prst="rect">
            <a:avLst/>
          </a:prstGeom>
          <a:solidFill>
            <a:srgbClr val="92D05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B</a:t>
            </a:r>
          </a:p>
        </xdr:txBody>
      </xdr:sp>
      <xdr:sp macro="" textlink="">
        <xdr:nvSpPr>
          <xdr:cNvPr id="14" name="Rectángulo 13">
            <a:extLst>
              <a:ext uri="{FF2B5EF4-FFF2-40B4-BE49-F238E27FC236}">
                <a16:creationId xmlns:a16="http://schemas.microsoft.com/office/drawing/2014/main" id="{00000000-0008-0000-0500-00000E000000}"/>
              </a:ext>
            </a:extLst>
          </xdr:cNvPr>
          <xdr:cNvSpPr/>
        </xdr:nvSpPr>
        <xdr:spPr>
          <a:xfrm>
            <a:off x="2830285" y="2921454"/>
            <a:ext cx="1046391" cy="956582"/>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D</a:t>
            </a:r>
          </a:p>
        </xdr:txBody>
      </xdr:sp>
      <xdr:sp macro="" textlink="">
        <xdr:nvSpPr>
          <xdr:cNvPr id="15" name="Rectángulo 14">
            <a:extLst>
              <a:ext uri="{FF2B5EF4-FFF2-40B4-BE49-F238E27FC236}">
                <a16:creationId xmlns:a16="http://schemas.microsoft.com/office/drawing/2014/main" id="{00000000-0008-0000-0500-00000F000000}"/>
              </a:ext>
            </a:extLst>
          </xdr:cNvPr>
          <xdr:cNvSpPr/>
        </xdr:nvSpPr>
        <xdr:spPr>
          <a:xfrm>
            <a:off x="1789582" y="2919053"/>
            <a:ext cx="1037316" cy="959304"/>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C</a:t>
            </a:r>
          </a:p>
        </xdr:txBody>
      </xdr:sp>
      <xdr:sp macro="" textlink="">
        <xdr:nvSpPr>
          <xdr:cNvPr id="16" name="Rectángulo 15">
            <a:extLst>
              <a:ext uri="{FF2B5EF4-FFF2-40B4-BE49-F238E27FC236}">
                <a16:creationId xmlns:a16="http://schemas.microsoft.com/office/drawing/2014/main" id="{00000000-0008-0000-0500-000010000000}"/>
              </a:ext>
            </a:extLst>
          </xdr:cNvPr>
          <xdr:cNvSpPr/>
        </xdr:nvSpPr>
        <xdr:spPr>
          <a:xfrm>
            <a:off x="3878038" y="5783039"/>
            <a:ext cx="1054553" cy="949779"/>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D</a:t>
            </a:r>
          </a:p>
        </xdr:txBody>
      </xdr:sp>
      <xdr:sp macro="" textlink="">
        <xdr:nvSpPr>
          <xdr:cNvPr id="17" name="Rectángulo 16">
            <a:extLst>
              <a:ext uri="{FF2B5EF4-FFF2-40B4-BE49-F238E27FC236}">
                <a16:creationId xmlns:a16="http://schemas.microsoft.com/office/drawing/2014/main" id="{00000000-0008-0000-0500-000011000000}"/>
              </a:ext>
            </a:extLst>
          </xdr:cNvPr>
          <xdr:cNvSpPr/>
        </xdr:nvSpPr>
        <xdr:spPr>
          <a:xfrm>
            <a:off x="2827734" y="5783036"/>
            <a:ext cx="1050300" cy="949779"/>
          </a:xfrm>
          <a:prstGeom prst="rect">
            <a:avLst/>
          </a:prstGeom>
          <a:solidFill>
            <a:srgbClr val="7030A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D</a:t>
            </a:r>
          </a:p>
        </xdr:txBody>
      </xdr:sp>
      <xdr:sp macro="" textlink="">
        <xdr:nvSpPr>
          <xdr:cNvPr id="18" name="Rectángulo 17">
            <a:extLst>
              <a:ext uri="{FF2B5EF4-FFF2-40B4-BE49-F238E27FC236}">
                <a16:creationId xmlns:a16="http://schemas.microsoft.com/office/drawing/2014/main" id="{00000000-0008-0000-0500-000012000000}"/>
              </a:ext>
            </a:extLst>
          </xdr:cNvPr>
          <xdr:cNvSpPr/>
        </xdr:nvSpPr>
        <xdr:spPr>
          <a:xfrm>
            <a:off x="4932588" y="5783035"/>
            <a:ext cx="1037318" cy="952501"/>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C</a:t>
            </a:r>
          </a:p>
        </xdr:txBody>
      </xdr:sp>
      <xdr:sp macro="" textlink="">
        <xdr:nvSpPr>
          <xdr:cNvPr id="19" name="Rectángulo 18">
            <a:extLst>
              <a:ext uri="{FF2B5EF4-FFF2-40B4-BE49-F238E27FC236}">
                <a16:creationId xmlns:a16="http://schemas.microsoft.com/office/drawing/2014/main" id="{00000000-0008-0000-0500-000013000000}"/>
              </a:ext>
            </a:extLst>
          </xdr:cNvPr>
          <xdr:cNvSpPr/>
        </xdr:nvSpPr>
        <xdr:spPr>
          <a:xfrm>
            <a:off x="1789343" y="5789849"/>
            <a:ext cx="1038393" cy="952501"/>
          </a:xfrm>
          <a:prstGeom prst="rect">
            <a:avLst/>
          </a:prstGeom>
          <a:solidFill>
            <a:srgbClr val="FF0000">
              <a:alpha val="14000"/>
            </a:srgbClr>
          </a:solidFill>
          <a:ln w="158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2000">
                <a:solidFill>
                  <a:sysClr val="windowText" lastClr="000000"/>
                </a:solidFill>
              </a:rPr>
              <a:t>C</a:t>
            </a:r>
          </a:p>
        </xdr:txBody>
      </xdr:sp>
    </xdr:grpSp>
    <xdr:clientData/>
  </xdr:twoCellAnchor>
  <xdr:twoCellAnchor>
    <xdr:from>
      <xdr:col>67</xdr:col>
      <xdr:colOff>40821</xdr:colOff>
      <xdr:row>8</xdr:row>
      <xdr:rowOff>190500</xdr:rowOff>
    </xdr:from>
    <xdr:to>
      <xdr:col>68</xdr:col>
      <xdr:colOff>381000</xdr:colOff>
      <xdr:row>10</xdr:row>
      <xdr:rowOff>175382</xdr:rowOff>
    </xdr:to>
    <xdr:sp macro="" textlink="">
      <xdr:nvSpPr>
        <xdr:cNvPr id="20" name="Flecha derecha 19">
          <a:hlinkClick xmlns:r="http://schemas.openxmlformats.org/officeDocument/2006/relationships" r:id="rId2"/>
          <a:extLst>
            <a:ext uri="{FF2B5EF4-FFF2-40B4-BE49-F238E27FC236}">
              <a16:creationId xmlns:a16="http://schemas.microsoft.com/office/drawing/2014/main" id="{00000000-0008-0000-0500-000014000000}"/>
            </a:ext>
          </a:extLst>
        </xdr:cNvPr>
        <xdr:cNvSpPr/>
      </xdr:nvSpPr>
      <xdr:spPr>
        <a:xfrm>
          <a:off x="18071646" y="2438400"/>
          <a:ext cx="1187904" cy="413507"/>
        </a:xfrm>
        <a:prstGeom prst="rightArrow">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twoCellAnchor>
    <xdr:from>
      <xdr:col>0</xdr:col>
      <xdr:colOff>108858</xdr:colOff>
      <xdr:row>8</xdr:row>
      <xdr:rowOff>0</xdr:rowOff>
    </xdr:from>
    <xdr:to>
      <xdr:col>0</xdr:col>
      <xdr:colOff>1099458</xdr:colOff>
      <xdr:row>11</xdr:row>
      <xdr:rowOff>111352</xdr:rowOff>
    </xdr:to>
    <xdr:sp macro="" textlink="">
      <xdr:nvSpPr>
        <xdr:cNvPr id="21" name="Elipse 20">
          <a:hlinkClick xmlns:r="http://schemas.openxmlformats.org/officeDocument/2006/relationships" r:id="rId3"/>
          <a:extLst>
            <a:ext uri="{FF2B5EF4-FFF2-40B4-BE49-F238E27FC236}">
              <a16:creationId xmlns:a16="http://schemas.microsoft.com/office/drawing/2014/main" id="{00000000-0008-0000-0500-000015000000}"/>
            </a:ext>
          </a:extLst>
        </xdr:cNvPr>
        <xdr:cNvSpPr/>
      </xdr:nvSpPr>
      <xdr:spPr>
        <a:xfrm>
          <a:off x="108858" y="2247900"/>
          <a:ext cx="990600" cy="740002"/>
        </a:xfrm>
        <a:prstGeom prst="ellipse">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0</xdr:col>
      <xdr:colOff>185358</xdr:colOff>
      <xdr:row>0</xdr:row>
      <xdr:rowOff>161322</xdr:rowOff>
    </xdr:from>
    <xdr:to>
      <xdr:col>8</xdr:col>
      <xdr:colOff>51027</xdr:colOff>
      <xdr:row>4</xdr:row>
      <xdr:rowOff>217715</xdr:rowOff>
    </xdr:to>
    <xdr:pic>
      <xdr:nvPicPr>
        <xdr:cNvPr id="22"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500-00001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5358" y="161322"/>
          <a:ext cx="2777598" cy="1430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245229</xdr:colOff>
      <xdr:row>0</xdr:row>
      <xdr:rowOff>128664</xdr:rowOff>
    </xdr:from>
    <xdr:to>
      <xdr:col>2</xdr:col>
      <xdr:colOff>831272</xdr:colOff>
      <xdr:row>4</xdr:row>
      <xdr:rowOff>320711</xdr:rowOff>
    </xdr:to>
    <xdr:pic>
      <xdr:nvPicPr>
        <xdr:cNvPr id="2"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7774" y="128664"/>
          <a:ext cx="3010589" cy="1560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8</xdr:row>
      <xdr:rowOff>0</xdr:rowOff>
    </xdr:from>
    <xdr:to>
      <xdr:col>0</xdr:col>
      <xdr:colOff>1402080</xdr:colOff>
      <xdr:row>10</xdr:row>
      <xdr:rowOff>106680</xdr:rowOff>
    </xdr:to>
    <xdr:sp macro="" textlink="">
      <xdr:nvSpPr>
        <xdr:cNvPr id="3" name="Elipse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0" y="2255520"/>
          <a:ext cx="1402080" cy="1127760"/>
        </a:xfrm>
        <a:prstGeom prst="ellipse">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twoCellAnchor>
    <xdr:from>
      <xdr:col>7</xdr:col>
      <xdr:colOff>304800</xdr:colOff>
      <xdr:row>8</xdr:row>
      <xdr:rowOff>152400</xdr:rowOff>
    </xdr:from>
    <xdr:to>
      <xdr:col>8</xdr:col>
      <xdr:colOff>708116</xdr:colOff>
      <xdr:row>9</xdr:row>
      <xdr:rowOff>579120</xdr:rowOff>
    </xdr:to>
    <xdr:sp macro="" textlink="">
      <xdr:nvSpPr>
        <xdr:cNvPr id="5" name="Flecha derecha 4">
          <a:hlinkClick xmlns:r="http://schemas.openxmlformats.org/officeDocument/2006/relationships" r:id="rId3"/>
          <a:extLst>
            <a:ext uri="{FF2B5EF4-FFF2-40B4-BE49-F238E27FC236}">
              <a16:creationId xmlns:a16="http://schemas.microsoft.com/office/drawing/2014/main" id="{00000000-0008-0000-0600-000005000000}"/>
            </a:ext>
          </a:extLst>
        </xdr:cNvPr>
        <xdr:cNvSpPr/>
      </xdr:nvSpPr>
      <xdr:spPr>
        <a:xfrm>
          <a:off x="23850600" y="2407920"/>
          <a:ext cx="1195796" cy="746760"/>
        </a:xfrm>
        <a:prstGeom prst="rightArrow">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latin typeface="Arial" panose="020B0604020202020204" pitchFamily="34" charset="0"/>
              <a:cs typeface="Arial" panose="020B0604020202020204" pitchFamily="34" charset="0"/>
            </a:rPr>
            <a:t>SIGUIENTE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275166</xdr:colOff>
      <xdr:row>7</xdr:row>
      <xdr:rowOff>137583</xdr:rowOff>
    </xdr:from>
    <xdr:to>
      <xdr:col>13</xdr:col>
      <xdr:colOff>571500</xdr:colOff>
      <xdr:row>9</xdr:row>
      <xdr:rowOff>74083</xdr:rowOff>
    </xdr:to>
    <xdr:sp macro="" textlink="">
      <xdr:nvSpPr>
        <xdr:cNvPr id="4" name="Flecha derecha 3">
          <a:hlinkClick xmlns:r="http://schemas.openxmlformats.org/officeDocument/2006/relationships" r:id="rId1"/>
          <a:extLst>
            <a:ext uri="{FF2B5EF4-FFF2-40B4-BE49-F238E27FC236}">
              <a16:creationId xmlns:a16="http://schemas.microsoft.com/office/drawing/2014/main" id="{00000000-0008-0000-0700-000004000000}"/>
            </a:ext>
          </a:extLst>
        </xdr:cNvPr>
        <xdr:cNvSpPr/>
      </xdr:nvSpPr>
      <xdr:spPr>
        <a:xfrm>
          <a:off x="18309166" y="1545166"/>
          <a:ext cx="1058334" cy="433917"/>
        </a:xfrm>
        <a:prstGeom prst="rightArrow">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200" b="1"/>
            <a:t>SIGUIENTE</a:t>
          </a:r>
        </a:p>
      </xdr:txBody>
    </xdr:sp>
    <xdr:clientData/>
  </xdr:twoCellAnchor>
  <xdr:twoCellAnchor>
    <xdr:from>
      <xdr:col>1</xdr:col>
      <xdr:colOff>673553</xdr:colOff>
      <xdr:row>0</xdr:row>
      <xdr:rowOff>54429</xdr:rowOff>
    </xdr:from>
    <xdr:to>
      <xdr:col>3</xdr:col>
      <xdr:colOff>503464</xdr:colOff>
      <xdr:row>5</xdr:row>
      <xdr:rowOff>124963</xdr:rowOff>
    </xdr:to>
    <xdr:pic>
      <xdr:nvPicPr>
        <xdr:cNvPr id="3"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3553" y="54429"/>
          <a:ext cx="2238375" cy="1091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8</xdr:row>
      <xdr:rowOff>0</xdr:rowOff>
    </xdr:from>
    <xdr:to>
      <xdr:col>0</xdr:col>
      <xdr:colOff>1028700</xdr:colOff>
      <xdr:row>9</xdr:row>
      <xdr:rowOff>419100</xdr:rowOff>
    </xdr:to>
    <xdr:sp macro="" textlink="">
      <xdr:nvSpPr>
        <xdr:cNvPr id="5" name="Elipse 4">
          <a:hlinkClick xmlns:r="http://schemas.openxmlformats.org/officeDocument/2006/relationships" r:id="rId3"/>
          <a:extLst>
            <a:ext uri="{FF2B5EF4-FFF2-40B4-BE49-F238E27FC236}">
              <a16:creationId xmlns:a16="http://schemas.microsoft.com/office/drawing/2014/main" id="{00000000-0008-0000-0700-000005000000}"/>
            </a:ext>
          </a:extLst>
        </xdr:cNvPr>
        <xdr:cNvSpPr/>
      </xdr:nvSpPr>
      <xdr:spPr>
        <a:xfrm>
          <a:off x="0" y="1651000"/>
          <a:ext cx="1028700" cy="939800"/>
        </a:xfrm>
        <a:prstGeom prst="ellipse">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800100</xdr:colOff>
      <xdr:row>1</xdr:row>
      <xdr:rowOff>137160</xdr:rowOff>
    </xdr:from>
    <xdr:to>
      <xdr:col>2</xdr:col>
      <xdr:colOff>3219450</xdr:colOff>
      <xdr:row>6</xdr:row>
      <xdr:rowOff>123053</xdr:rowOff>
    </xdr:to>
    <xdr:pic>
      <xdr:nvPicPr>
        <xdr:cNvPr id="3" name="image1.png" descr="https://lh4.googleusercontent.com/qkGRsoreDwQ50uHdIJ9rDyi0hxBPQ-H4y98r8soq9v7LqZokzYE2WfI8nlCDXi9lXQgoTe3V5PBBWA2gUF3L8x44PoMuSlDWn56i9OC9c7F5-6oPrx7z_8F3Hle_SxIQn9QvO5sT">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81450" y="346710"/>
          <a:ext cx="2419350" cy="938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8</xdr:row>
      <xdr:rowOff>0</xdr:rowOff>
    </xdr:from>
    <xdr:to>
      <xdr:col>0</xdr:col>
      <xdr:colOff>1158240</xdr:colOff>
      <xdr:row>9</xdr:row>
      <xdr:rowOff>716280</xdr:rowOff>
    </xdr:to>
    <xdr:sp macro="" textlink="">
      <xdr:nvSpPr>
        <xdr:cNvPr id="5" name="Elipse 4">
          <a:hlinkClick xmlns:r="http://schemas.openxmlformats.org/officeDocument/2006/relationships" r:id="rId2"/>
          <a:extLst>
            <a:ext uri="{FF2B5EF4-FFF2-40B4-BE49-F238E27FC236}">
              <a16:creationId xmlns:a16="http://schemas.microsoft.com/office/drawing/2014/main" id="{00000000-0008-0000-0800-000005000000}"/>
            </a:ext>
          </a:extLst>
        </xdr:cNvPr>
        <xdr:cNvSpPr/>
      </xdr:nvSpPr>
      <xdr:spPr>
        <a:xfrm>
          <a:off x="0" y="1569720"/>
          <a:ext cx="1158240" cy="960120"/>
        </a:xfrm>
        <a:prstGeom prst="ellipse">
          <a:avLst/>
        </a:prstGeom>
        <a:noFill/>
        <a:ln w="285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MX" sz="1050" b="1">
              <a:latin typeface="Arial" panose="020B0604020202020204" pitchFamily="34" charset="0"/>
              <a:cs typeface="Arial" panose="020B0604020202020204" pitchFamily="34" charset="0"/>
            </a:rPr>
            <a:t>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ecuevas\Documents\Enrique\Planeaci&#243;n%20para%20ISO%209001%20-%202015\Plan%20Estrat&#233;gico%20del%20Negoci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1\FODA%20DE%20AGUASCALIENT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AppData\Local\Microsoft\Windows\Temporary%20Internet%20Files\Content.Outlook\1Q69SHO0\Matriz%20de%20An&#225;lisis%20de%20Riesg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
      <sheetName val="INTRO"/>
      <sheetName val="1"/>
      <sheetName val="1a"/>
      <sheetName val="2"/>
      <sheetName val="2a"/>
      <sheetName val="2b"/>
      <sheetName val="3"/>
      <sheetName val="3a"/>
      <sheetName val="3b"/>
      <sheetName val="3c"/>
      <sheetName val="4"/>
      <sheetName val="4a"/>
      <sheetName val="5"/>
      <sheetName val="5a"/>
      <sheetName val="6"/>
      <sheetName val="6a"/>
      <sheetName val="6b"/>
      <sheetName val="7"/>
      <sheetName val="7a"/>
      <sheetName val="7b"/>
      <sheetName val="CÁLCULOS"/>
    </sheetNames>
    <sheetDataSet>
      <sheetData sheetId="0">
        <row r="20">
          <cell r="J20" t="str">
            <v>MI EMPRESA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22">
          <cell r="B22">
            <v>1</v>
          </cell>
        </row>
        <row r="23">
          <cell r="B23">
            <v>2</v>
          </cell>
        </row>
        <row r="24">
          <cell r="B24">
            <v>3</v>
          </cell>
        </row>
        <row r="25">
          <cell r="B25">
            <v>4</v>
          </cell>
        </row>
        <row r="26">
          <cell r="B26">
            <v>5</v>
          </cell>
        </row>
        <row r="29">
          <cell r="B29">
            <v>1</v>
          </cell>
        </row>
        <row r="30">
          <cell r="B30">
            <v>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E"/>
      <sheetName val="INTRO"/>
      <sheetName val="1a. Misión, Visión"/>
      <sheetName val="1b. Política y Objetivos"/>
      <sheetName val="Perfiles"/>
      <sheetName val="2a. Análisis Foda"/>
      <sheetName val="2b. Matriz Posicionamiento"/>
    </sheetNames>
    <sheetDataSet>
      <sheetData sheetId="0"/>
      <sheetData sheetId="1"/>
      <sheetData sheetId="2"/>
      <sheetData sheetId="3"/>
      <sheetData sheetId="4">
        <row r="3">
          <cell r="C3" t="str">
            <v>a</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nderación"/>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B142"/>
  <sheetViews>
    <sheetView showGridLines="0" showZeros="0" showOutlineSymbols="0" zoomScaleNormal="100" zoomScaleSheetLayoutView="100" zoomScalePageLayoutView="70" workbookViewId="0">
      <selection activeCell="A19" sqref="A19:E19"/>
    </sheetView>
  </sheetViews>
  <sheetFormatPr baseColWidth="10" defaultColWidth="11.3984375" defaultRowHeight="12.75" x14ac:dyDescent="0.35"/>
  <cols>
    <col min="1" max="2" width="17.265625" style="20" customWidth="1"/>
    <col min="3" max="3" width="2.265625" style="20" customWidth="1"/>
    <col min="4" max="5" width="17.265625" style="20" customWidth="1"/>
    <col min="6" max="6" width="2.265625" style="20" customWidth="1"/>
    <col min="7" max="8" width="17.265625" style="20" customWidth="1"/>
    <col min="9" max="9" width="2.265625" style="20" customWidth="1"/>
    <col min="10" max="11" width="17.265625" style="20" customWidth="1"/>
    <col min="12" max="12" width="3.1328125" style="20" customWidth="1"/>
    <col min="13" max="13" width="4.73046875" style="21" customWidth="1"/>
    <col min="14" max="14" width="1.73046875" style="21" customWidth="1"/>
    <col min="15" max="15" width="6.59765625" style="21" customWidth="1"/>
    <col min="16" max="16" width="19.3984375" style="21" customWidth="1"/>
    <col min="17" max="16384" width="11.3984375" style="20"/>
  </cols>
  <sheetData>
    <row r="1" spans="1:54" ht="13.15" thickBot="1" x14ac:dyDescent="0.4"/>
    <row r="2" spans="1:54" s="50" customFormat="1" ht="30" customHeight="1" thickBot="1" x14ac:dyDescent="0.4">
      <c r="A2" s="358"/>
      <c r="B2" s="358"/>
      <c r="C2" s="359" t="s">
        <v>298</v>
      </c>
      <c r="D2" s="359"/>
      <c r="E2" s="359"/>
      <c r="F2" s="359"/>
      <c r="G2" s="359"/>
      <c r="H2" s="359"/>
      <c r="I2" s="359"/>
      <c r="J2" s="359"/>
      <c r="K2" s="360" t="s">
        <v>181</v>
      </c>
      <c r="L2" s="360"/>
    </row>
    <row r="3" spans="1:54" s="50" customFormat="1" ht="21" customHeight="1" thickBot="1" x14ac:dyDescent="0.4">
      <c r="A3" s="358"/>
      <c r="B3" s="358"/>
      <c r="C3" s="359" t="s">
        <v>182</v>
      </c>
      <c r="D3" s="359"/>
      <c r="E3" s="359"/>
      <c r="F3" s="359"/>
      <c r="G3" s="359"/>
      <c r="H3" s="359"/>
      <c r="I3" s="359"/>
      <c r="J3" s="359"/>
      <c r="K3" s="361" t="s">
        <v>183</v>
      </c>
      <c r="L3" s="361"/>
    </row>
    <row r="4" spans="1:54" s="50" customFormat="1" ht="15" customHeight="1" thickBot="1" x14ac:dyDescent="0.4">
      <c r="A4" s="358"/>
      <c r="B4" s="358"/>
      <c r="C4" s="362" t="s">
        <v>138</v>
      </c>
      <c r="D4" s="362"/>
      <c r="E4" s="362"/>
      <c r="F4" s="362"/>
      <c r="G4" s="362"/>
      <c r="H4" s="362"/>
      <c r="I4" s="362"/>
      <c r="J4" s="362"/>
      <c r="K4" s="363">
        <v>43854</v>
      </c>
      <c r="L4" s="363"/>
    </row>
    <row r="5" spans="1:54" s="50" customFormat="1" ht="15" customHeight="1" x14ac:dyDescent="0.35">
      <c r="A5" s="123"/>
      <c r="B5" s="123"/>
      <c r="C5" s="124"/>
      <c r="D5" s="124"/>
      <c r="E5" s="124"/>
      <c r="F5" s="124"/>
      <c r="G5" s="124"/>
      <c r="H5" s="124"/>
      <c r="I5" s="124"/>
      <c r="J5" s="124"/>
      <c r="K5" s="125"/>
      <c r="L5" s="125"/>
    </row>
    <row r="6" spans="1:54" ht="18" customHeight="1" x14ac:dyDescent="0.35">
      <c r="A6" s="356"/>
      <c r="B6" s="356"/>
      <c r="C6" s="356"/>
      <c r="D6" s="356"/>
      <c r="E6" s="356"/>
      <c r="F6" s="356"/>
      <c r="G6" s="356"/>
      <c r="H6" s="356"/>
      <c r="I6" s="356"/>
      <c r="J6" s="356"/>
      <c r="K6" s="356"/>
      <c r="L6" s="356"/>
      <c r="M6" s="17"/>
      <c r="N6" s="8"/>
      <c r="O6" s="8"/>
      <c r="P6" s="7"/>
      <c r="Q6" s="9"/>
      <c r="R6" s="9"/>
      <c r="S6" s="9"/>
      <c r="T6" s="9"/>
      <c r="U6" s="9"/>
      <c r="V6" s="9"/>
      <c r="W6" s="9"/>
      <c r="X6" s="9"/>
      <c r="Y6" s="9"/>
      <c r="Z6" s="9"/>
      <c r="AA6" s="9"/>
      <c r="AB6" s="9"/>
      <c r="AC6" s="9"/>
      <c r="AD6" s="9"/>
      <c r="AE6" s="9"/>
      <c r="AF6" s="9"/>
      <c r="AG6" s="9"/>
      <c r="AH6" s="9"/>
      <c r="AI6" s="9"/>
      <c r="AJ6" s="9"/>
      <c r="AK6" s="9"/>
      <c r="AL6" s="9"/>
      <c r="AM6" s="18"/>
      <c r="AN6" s="18"/>
      <c r="AO6" s="18"/>
      <c r="AP6" s="18"/>
      <c r="AQ6" s="18"/>
      <c r="AR6" s="18"/>
      <c r="AS6" s="18"/>
      <c r="AT6" s="18"/>
      <c r="AU6" s="18"/>
      <c r="AV6" s="18"/>
      <c r="AW6" s="18"/>
      <c r="AX6" s="19"/>
      <c r="AY6" s="19"/>
      <c r="AZ6" s="19"/>
      <c r="BA6" s="19"/>
      <c r="BB6" s="19"/>
    </row>
    <row r="7" spans="1:54" ht="18" customHeight="1" x14ac:dyDescent="0.35">
      <c r="A7" s="357"/>
      <c r="B7" s="357"/>
      <c r="C7" s="357"/>
      <c r="D7" s="357"/>
      <c r="E7" s="357"/>
      <c r="F7" s="357"/>
      <c r="G7" s="357"/>
      <c r="H7" s="357"/>
      <c r="I7" s="357"/>
      <c r="J7" s="357"/>
      <c r="K7" s="357"/>
      <c r="L7" s="357"/>
      <c r="M7" s="17"/>
      <c r="N7" s="8"/>
      <c r="O7" s="8"/>
      <c r="P7" s="7"/>
      <c r="Q7" s="9"/>
      <c r="R7" s="9"/>
      <c r="S7" s="9"/>
      <c r="T7" s="9"/>
      <c r="U7" s="9"/>
      <c r="V7" s="9"/>
      <c r="W7" s="9"/>
      <c r="X7" s="9"/>
      <c r="Y7" s="9"/>
      <c r="Z7" s="9"/>
      <c r="AA7" s="9"/>
      <c r="AB7" s="9"/>
      <c r="AC7" s="9"/>
      <c r="AD7" s="9"/>
      <c r="AE7" s="9"/>
      <c r="AF7" s="9"/>
      <c r="AG7" s="9"/>
      <c r="AH7" s="9"/>
      <c r="AI7" s="9"/>
      <c r="AJ7" s="9"/>
      <c r="AK7" s="9"/>
      <c r="AL7" s="9"/>
      <c r="AM7" s="18"/>
      <c r="AN7" s="18"/>
      <c r="AO7" s="18"/>
      <c r="AP7" s="18"/>
      <c r="AQ7" s="18"/>
      <c r="AR7" s="18"/>
      <c r="AS7" s="18"/>
      <c r="AT7" s="18"/>
      <c r="AU7" s="18"/>
      <c r="AV7" s="18"/>
      <c r="AW7" s="18"/>
      <c r="AX7" s="19"/>
      <c r="AY7" s="19"/>
      <c r="AZ7" s="19"/>
      <c r="BA7" s="19"/>
      <c r="BB7" s="19"/>
    </row>
    <row r="8" spans="1:54" ht="78" customHeight="1" x14ac:dyDescent="0.35">
      <c r="A8" s="347" t="s">
        <v>135</v>
      </c>
      <c r="B8" s="347"/>
      <c r="C8" s="206"/>
      <c r="D8" s="347" t="s">
        <v>202</v>
      </c>
      <c r="E8" s="347"/>
      <c r="F8" s="205"/>
      <c r="G8" s="351" t="s">
        <v>204</v>
      </c>
      <c r="H8" s="351"/>
      <c r="I8" s="205"/>
      <c r="J8" s="348" t="s">
        <v>325</v>
      </c>
      <c r="K8" s="348"/>
      <c r="L8" s="172"/>
      <c r="M8" s="7"/>
      <c r="N8" s="8"/>
      <c r="O8" s="8"/>
      <c r="P8" s="20"/>
      <c r="R8" s="9"/>
      <c r="S8" s="9"/>
      <c r="T8" s="9"/>
      <c r="U8" s="9"/>
      <c r="V8" s="9"/>
      <c r="W8" s="9"/>
      <c r="X8" s="9"/>
      <c r="Y8" s="9"/>
      <c r="Z8" s="9"/>
      <c r="AA8" s="9"/>
      <c r="AB8" s="9"/>
      <c r="AC8" s="9"/>
      <c r="AD8" s="9"/>
      <c r="AE8" s="9"/>
      <c r="AF8" s="9"/>
      <c r="AG8" s="9"/>
      <c r="AH8" s="9"/>
      <c r="AI8" s="9"/>
      <c r="AJ8" s="9"/>
      <c r="AK8" s="9"/>
      <c r="AL8" s="9"/>
      <c r="AM8" s="18"/>
      <c r="AN8" s="18"/>
      <c r="AO8" s="18"/>
      <c r="AP8" s="18"/>
      <c r="AQ8" s="18"/>
      <c r="AR8" s="18"/>
      <c r="AS8" s="18"/>
      <c r="AT8" s="18"/>
      <c r="AU8" s="18"/>
      <c r="AV8" s="18"/>
      <c r="AW8" s="18"/>
      <c r="AX8" s="19"/>
      <c r="AY8" s="19"/>
      <c r="AZ8" s="19"/>
      <c r="BA8" s="19"/>
      <c r="BB8" s="19"/>
    </row>
    <row r="9" spans="1:54" ht="30" customHeight="1" x14ac:dyDescent="0.35">
      <c r="A9" s="347" t="s">
        <v>137</v>
      </c>
      <c r="B9" s="347"/>
      <c r="C9" s="205"/>
      <c r="D9" s="347" t="s">
        <v>203</v>
      </c>
      <c r="E9" s="347"/>
      <c r="F9" s="205"/>
      <c r="G9" s="207"/>
      <c r="H9" s="207"/>
      <c r="I9" s="205"/>
      <c r="J9" s="352" t="s">
        <v>326</v>
      </c>
      <c r="K9" s="352"/>
      <c r="L9" s="172"/>
      <c r="M9" s="7"/>
      <c r="N9" s="8"/>
      <c r="P9" s="20"/>
      <c r="R9" s="9"/>
      <c r="S9" s="9"/>
      <c r="T9" s="9"/>
      <c r="U9" s="9"/>
      <c r="V9" s="9"/>
      <c r="W9" s="9"/>
      <c r="X9" s="9"/>
      <c r="Y9" s="9"/>
      <c r="Z9" s="9"/>
      <c r="AA9" s="9"/>
      <c r="AB9" s="9"/>
      <c r="AC9" s="9"/>
      <c r="AD9" s="9"/>
      <c r="AE9" s="9"/>
      <c r="AF9" s="9"/>
      <c r="AG9" s="9"/>
      <c r="AH9" s="9"/>
      <c r="AI9" s="9"/>
      <c r="AJ9" s="9"/>
      <c r="AK9" s="9"/>
      <c r="AL9" s="9"/>
      <c r="AM9" s="18"/>
      <c r="AN9" s="18"/>
      <c r="AO9" s="18"/>
      <c r="AP9" s="18"/>
      <c r="AQ9" s="18"/>
      <c r="AR9" s="18"/>
      <c r="AS9" s="18"/>
      <c r="AT9" s="18"/>
      <c r="AU9" s="18"/>
      <c r="AV9" s="18"/>
      <c r="AW9" s="18"/>
      <c r="AX9" s="19"/>
      <c r="AY9" s="19"/>
      <c r="AZ9" s="19"/>
      <c r="BA9" s="19"/>
      <c r="BB9" s="19"/>
    </row>
    <row r="10" spans="1:54" ht="13.15" customHeight="1" x14ac:dyDescent="0.35">
      <c r="A10" s="174"/>
      <c r="B10" s="174"/>
      <c r="C10" s="173"/>
      <c r="D10" s="174"/>
      <c r="E10" s="174"/>
      <c r="F10" s="175"/>
      <c r="G10" s="197"/>
      <c r="H10" s="174"/>
      <c r="I10" s="176"/>
      <c r="J10" s="350"/>
      <c r="K10" s="350"/>
      <c r="L10" s="172"/>
      <c r="M10" s="7"/>
      <c r="N10" s="8"/>
      <c r="Q10" s="9"/>
      <c r="R10" s="34"/>
      <c r="S10" s="9"/>
      <c r="T10" s="9"/>
      <c r="U10" s="9"/>
      <c r="V10" s="9"/>
      <c r="W10" s="9"/>
      <c r="X10" s="9"/>
      <c r="Y10" s="9"/>
      <c r="Z10" s="9"/>
      <c r="AA10" s="9"/>
      <c r="AB10" s="9"/>
      <c r="AC10" s="9"/>
      <c r="AD10" s="9"/>
      <c r="AE10" s="9"/>
      <c r="AF10" s="9"/>
      <c r="AG10" s="9"/>
      <c r="AH10" s="9"/>
      <c r="AI10" s="9"/>
      <c r="AJ10" s="9"/>
      <c r="AK10" s="9"/>
      <c r="AL10" s="9"/>
      <c r="AM10" s="18"/>
      <c r="AN10" s="18"/>
      <c r="AO10" s="18"/>
      <c r="AP10" s="18"/>
      <c r="AQ10" s="18"/>
      <c r="AR10" s="18"/>
      <c r="AS10" s="18"/>
      <c r="AT10" s="18"/>
      <c r="AU10" s="18"/>
      <c r="AV10" s="18"/>
      <c r="AW10" s="18"/>
      <c r="AX10" s="19"/>
      <c r="AY10" s="19"/>
      <c r="AZ10" s="19"/>
      <c r="BA10" s="19"/>
      <c r="BB10" s="19"/>
    </row>
    <row r="11" spans="1:54" ht="30" customHeight="1" x14ac:dyDescent="0.35">
      <c r="A11" s="353"/>
      <c r="B11" s="353"/>
      <c r="C11" s="353"/>
      <c r="D11" s="353"/>
      <c r="E11" s="353"/>
      <c r="F11" s="353"/>
      <c r="G11" s="353"/>
      <c r="H11" s="353"/>
      <c r="I11" s="353"/>
      <c r="J11" s="353"/>
      <c r="K11" s="353"/>
      <c r="L11" s="353"/>
      <c r="M11" s="10"/>
      <c r="N11" s="15"/>
      <c r="O11" s="16"/>
      <c r="Q11" s="9"/>
      <c r="R11" s="9"/>
      <c r="S11" s="9"/>
      <c r="T11" s="9"/>
      <c r="U11" s="9"/>
      <c r="V11" s="9"/>
      <c r="W11" s="9"/>
      <c r="X11" s="9"/>
      <c r="Y11" s="9"/>
      <c r="Z11" s="9"/>
      <c r="AA11" s="9"/>
      <c r="AB11" s="9"/>
      <c r="AC11" s="9"/>
      <c r="AD11" s="9"/>
      <c r="AE11" s="9"/>
      <c r="AF11" s="9"/>
      <c r="AG11" s="9"/>
      <c r="AH11" s="9"/>
      <c r="AI11" s="9"/>
      <c r="AJ11" s="9"/>
      <c r="AK11" s="9"/>
      <c r="AL11" s="9"/>
      <c r="AM11" s="18"/>
      <c r="AN11" s="18"/>
      <c r="AO11" s="18"/>
      <c r="AP11" s="18"/>
      <c r="AQ11" s="18"/>
      <c r="AR11" s="18"/>
      <c r="AS11" s="18"/>
      <c r="AT11" s="18"/>
      <c r="AU11" s="18"/>
      <c r="AV11" s="18"/>
      <c r="AW11" s="18"/>
      <c r="AX11" s="19"/>
      <c r="AY11" s="19"/>
      <c r="AZ11" s="19"/>
      <c r="BA11" s="19"/>
      <c r="BB11" s="19"/>
    </row>
    <row r="12" spans="1:54" ht="30" customHeight="1" x14ac:dyDescent="0.5">
      <c r="A12" s="208" t="s">
        <v>330</v>
      </c>
      <c r="B12" s="209"/>
      <c r="C12" s="210"/>
      <c r="D12" s="349" t="s">
        <v>299</v>
      </c>
      <c r="E12" s="349"/>
      <c r="F12" s="349"/>
      <c r="G12" s="177" t="s">
        <v>140</v>
      </c>
      <c r="H12" s="178"/>
      <c r="I12" s="179"/>
      <c r="J12" s="179"/>
      <c r="K12" s="180"/>
      <c r="L12" s="181"/>
      <c r="M12" s="13"/>
      <c r="N12" s="14"/>
      <c r="O12" s="14"/>
      <c r="Q12" s="9"/>
      <c r="R12" s="9"/>
      <c r="S12" s="9"/>
      <c r="T12" s="9"/>
      <c r="U12" s="9"/>
      <c r="V12" s="9"/>
      <c r="W12" s="9"/>
      <c r="X12" s="9"/>
      <c r="Y12" s="9"/>
      <c r="Z12" s="9"/>
      <c r="AA12" s="9"/>
      <c r="AB12" s="9"/>
      <c r="AC12" s="9"/>
      <c r="AD12" s="9"/>
      <c r="AE12" s="9"/>
      <c r="AF12" s="9"/>
      <c r="AG12" s="9"/>
      <c r="AH12" s="9"/>
      <c r="AI12" s="9"/>
      <c r="AJ12" s="9"/>
      <c r="AK12" s="9"/>
      <c r="AL12" s="9"/>
      <c r="AM12" s="18"/>
      <c r="AN12" s="18"/>
      <c r="AO12" s="18"/>
      <c r="AP12" s="18"/>
      <c r="AQ12" s="18"/>
      <c r="AR12" s="18"/>
      <c r="AS12" s="18"/>
      <c r="AT12" s="18"/>
      <c r="AU12" s="18"/>
      <c r="AV12" s="18"/>
      <c r="AW12" s="18"/>
      <c r="AX12" s="19"/>
      <c r="AY12" s="19"/>
      <c r="AZ12" s="19"/>
      <c r="BA12" s="19"/>
      <c r="BB12" s="19"/>
    </row>
    <row r="13" spans="1:54" ht="30" customHeight="1" x14ac:dyDescent="0.4">
      <c r="A13" s="182"/>
      <c r="B13" s="183"/>
      <c r="C13" s="184"/>
      <c r="D13" s="212"/>
      <c r="E13" s="213"/>
      <c r="F13" s="213"/>
      <c r="G13" s="186"/>
      <c r="H13" s="187"/>
      <c r="I13" s="188"/>
      <c r="J13" s="189"/>
      <c r="K13" s="190"/>
      <c r="L13" s="184"/>
      <c r="M13" s="10"/>
      <c r="N13" s="15"/>
      <c r="O13" s="16"/>
      <c r="P13" s="11"/>
      <c r="Q13" s="9"/>
      <c r="R13" s="9"/>
      <c r="S13" s="9"/>
      <c r="T13" s="9"/>
      <c r="U13" s="9"/>
      <c r="V13" s="9"/>
      <c r="W13" s="9"/>
      <c r="X13" s="9"/>
      <c r="Y13" s="9"/>
      <c r="Z13" s="9"/>
      <c r="AA13" s="9"/>
      <c r="AB13" s="9"/>
      <c r="AC13" s="9"/>
      <c r="AD13" s="9"/>
      <c r="AE13" s="9"/>
      <c r="AF13" s="9"/>
      <c r="AG13" s="9"/>
      <c r="AH13" s="9"/>
      <c r="AI13" s="9"/>
      <c r="AJ13" s="9"/>
      <c r="AK13" s="9"/>
      <c r="AL13" s="9"/>
      <c r="AM13" s="18"/>
      <c r="AN13" s="18"/>
      <c r="AO13" s="18"/>
      <c r="AP13" s="18"/>
      <c r="AQ13" s="18"/>
      <c r="AR13" s="18"/>
      <c r="AS13" s="18"/>
      <c r="AT13" s="18"/>
      <c r="AU13" s="18"/>
      <c r="AV13" s="18"/>
      <c r="AW13" s="18"/>
      <c r="AX13" s="19"/>
      <c r="AY13" s="19"/>
      <c r="AZ13" s="19"/>
      <c r="BA13" s="19"/>
      <c r="BB13" s="19"/>
    </row>
    <row r="14" spans="1:54" ht="30" customHeight="1" x14ac:dyDescent="0.5">
      <c r="A14" s="208" t="s">
        <v>331</v>
      </c>
      <c r="B14" s="211"/>
      <c r="C14" s="210"/>
      <c r="D14" s="345" t="s">
        <v>296</v>
      </c>
      <c r="E14" s="345"/>
      <c r="F14" s="215"/>
      <c r="G14" s="177" t="s">
        <v>141</v>
      </c>
      <c r="H14" s="191"/>
      <c r="I14" s="188"/>
      <c r="J14" s="189"/>
      <c r="K14" s="190"/>
      <c r="L14" s="184"/>
      <c r="M14" s="10"/>
      <c r="N14" s="15"/>
      <c r="O14" s="16"/>
      <c r="Q14" s="9"/>
      <c r="R14" s="9"/>
      <c r="S14" s="9"/>
      <c r="T14" s="9"/>
      <c r="U14" s="9"/>
      <c r="V14" s="9"/>
      <c r="W14" s="9"/>
      <c r="X14" s="9"/>
      <c r="Y14" s="9"/>
      <c r="Z14" s="9"/>
      <c r="AA14" s="9"/>
      <c r="AB14" s="9"/>
      <c r="AC14" s="9"/>
      <c r="AD14" s="9"/>
      <c r="AE14" s="9"/>
      <c r="AF14" s="9"/>
      <c r="AG14" s="9"/>
      <c r="AH14" s="9"/>
      <c r="AI14" s="9"/>
      <c r="AJ14" s="9"/>
      <c r="AK14" s="9"/>
      <c r="AL14" s="9"/>
      <c r="AM14" s="18"/>
      <c r="AN14" s="18"/>
      <c r="AO14" s="18"/>
      <c r="AP14" s="18"/>
      <c r="AQ14" s="18"/>
      <c r="AR14" s="18"/>
      <c r="AS14" s="18"/>
      <c r="AT14" s="18"/>
      <c r="AU14" s="18"/>
      <c r="AV14" s="18"/>
      <c r="AW14" s="18"/>
      <c r="AX14" s="19"/>
      <c r="AY14" s="19"/>
      <c r="AZ14" s="19"/>
      <c r="BA14" s="19"/>
      <c r="BB14" s="19"/>
    </row>
    <row r="15" spans="1:54" ht="30" customHeight="1" x14ac:dyDescent="0.4">
      <c r="A15" s="182"/>
      <c r="B15" s="183"/>
      <c r="C15" s="184"/>
      <c r="D15" s="212"/>
      <c r="E15" s="213"/>
      <c r="F15" s="213"/>
      <c r="G15" s="186"/>
      <c r="H15" s="187"/>
      <c r="I15" s="188"/>
      <c r="J15" s="189"/>
      <c r="K15" s="190"/>
      <c r="L15" s="184"/>
      <c r="M15" s="10"/>
      <c r="N15" s="15"/>
      <c r="O15" s="16"/>
      <c r="P15" s="11"/>
      <c r="Q15" s="9"/>
      <c r="R15" s="9"/>
      <c r="S15" s="9"/>
      <c r="T15" s="9"/>
      <c r="U15" s="9"/>
      <c r="V15" s="9"/>
      <c r="W15" s="9"/>
      <c r="X15" s="9"/>
      <c r="Y15" s="9"/>
      <c r="Z15" s="9"/>
      <c r="AA15" s="9"/>
      <c r="AB15" s="9"/>
      <c r="AC15" s="9"/>
      <c r="AD15" s="9"/>
      <c r="AE15" s="9"/>
      <c r="AF15" s="9"/>
      <c r="AG15" s="9"/>
      <c r="AH15" s="9"/>
      <c r="AI15" s="9"/>
      <c r="AJ15" s="9"/>
      <c r="AK15" s="9"/>
      <c r="AL15" s="9"/>
      <c r="AM15" s="18"/>
      <c r="AN15" s="18"/>
      <c r="AO15" s="18"/>
      <c r="AP15" s="18"/>
      <c r="AQ15" s="18"/>
      <c r="AR15" s="18"/>
      <c r="AS15" s="18"/>
      <c r="AT15" s="18"/>
      <c r="AU15" s="18"/>
      <c r="AV15" s="18"/>
      <c r="AW15" s="18"/>
      <c r="AX15" s="19"/>
      <c r="AY15" s="19"/>
      <c r="AZ15" s="19"/>
      <c r="BA15" s="19"/>
      <c r="BB15" s="19"/>
    </row>
    <row r="16" spans="1:54" ht="30" customHeight="1" x14ac:dyDescent="0.4">
      <c r="A16" s="208" t="s">
        <v>332</v>
      </c>
      <c r="B16" s="211"/>
      <c r="C16" s="185"/>
      <c r="D16" s="344">
        <v>43854</v>
      </c>
      <c r="E16" s="344"/>
      <c r="F16" s="214" t="s">
        <v>119</v>
      </c>
      <c r="G16" s="192" t="s">
        <v>142</v>
      </c>
      <c r="H16" s="193"/>
      <c r="I16" s="194"/>
      <c r="J16" s="195"/>
      <c r="K16" s="196"/>
      <c r="L16" s="185"/>
      <c r="M16" s="11"/>
      <c r="N16" s="12"/>
      <c r="O16" s="12"/>
      <c r="P16" s="16"/>
      <c r="Q16" s="9"/>
      <c r="R16" s="9"/>
      <c r="S16" s="9"/>
      <c r="T16" s="9"/>
      <c r="U16" s="9"/>
      <c r="V16" s="9"/>
      <c r="W16" s="9"/>
      <c r="X16" s="9"/>
      <c r="Y16" s="9"/>
      <c r="Z16" s="9"/>
      <c r="AA16" s="9"/>
      <c r="AB16" s="9"/>
      <c r="AC16" s="9"/>
      <c r="AD16" s="9"/>
      <c r="AE16" s="9"/>
      <c r="AF16" s="9"/>
      <c r="AG16" s="9"/>
      <c r="AH16" s="9"/>
      <c r="AI16" s="9"/>
      <c r="AJ16" s="9"/>
      <c r="AK16" s="9"/>
      <c r="AL16" s="9"/>
      <c r="AM16" s="18"/>
      <c r="AN16" s="18"/>
      <c r="AO16" s="18"/>
      <c r="AP16" s="18"/>
      <c r="AQ16" s="18"/>
      <c r="AR16" s="18"/>
      <c r="AS16" s="18"/>
      <c r="AT16" s="18"/>
      <c r="AU16" s="18"/>
      <c r="AV16" s="18"/>
      <c r="AW16" s="18"/>
      <c r="AX16" s="19"/>
      <c r="AY16" s="19"/>
      <c r="AZ16" s="19"/>
      <c r="BA16" s="19"/>
      <c r="BB16" s="19"/>
    </row>
    <row r="17" spans="1:54" ht="13.5" x14ac:dyDescent="0.35">
      <c r="A17" s="16"/>
      <c r="B17" s="16"/>
      <c r="C17" s="16"/>
      <c r="D17" s="16"/>
      <c r="E17" s="16"/>
      <c r="F17" s="16"/>
      <c r="G17" s="16"/>
      <c r="H17" s="16"/>
      <c r="I17" s="16"/>
      <c r="J17" s="16"/>
      <c r="K17" s="16"/>
      <c r="L17" s="16"/>
      <c r="M17" s="16"/>
      <c r="N17" s="16"/>
      <c r="O17" s="16"/>
      <c r="P17" s="16"/>
      <c r="Q17" s="9"/>
      <c r="R17" s="9"/>
      <c r="S17" s="9"/>
      <c r="T17" s="9"/>
      <c r="U17" s="9"/>
      <c r="V17" s="9"/>
      <c r="W17" s="9"/>
      <c r="X17" s="9"/>
      <c r="Y17" s="9"/>
      <c r="Z17" s="9"/>
      <c r="AA17" s="9"/>
      <c r="AB17" s="9"/>
      <c r="AC17" s="9"/>
      <c r="AD17" s="9"/>
      <c r="AE17" s="9"/>
      <c r="AF17" s="9"/>
      <c r="AG17" s="9"/>
      <c r="AH17" s="9"/>
      <c r="AI17" s="9"/>
      <c r="AJ17" s="9"/>
      <c r="AK17" s="9"/>
      <c r="AL17" s="9"/>
      <c r="AM17" s="18"/>
      <c r="AN17" s="18"/>
      <c r="AO17" s="18"/>
      <c r="AP17" s="18"/>
      <c r="AQ17" s="18"/>
      <c r="AR17" s="18"/>
      <c r="AS17" s="18"/>
      <c r="AT17" s="18"/>
      <c r="AU17" s="18"/>
      <c r="AV17" s="18"/>
      <c r="AW17" s="18"/>
      <c r="AX17" s="19"/>
      <c r="AY17" s="19"/>
      <c r="AZ17" s="19"/>
      <c r="BA17" s="19"/>
      <c r="BB17" s="19"/>
    </row>
    <row r="18" spans="1:54" ht="13.9" customHeight="1" x14ac:dyDescent="0.35">
      <c r="A18" s="364" t="s">
        <v>192</v>
      </c>
      <c r="B18" s="364"/>
      <c r="C18" s="364" t="s">
        <v>193</v>
      </c>
      <c r="D18" s="364"/>
      <c r="E18" s="364"/>
      <c r="F18" s="364" t="s">
        <v>194</v>
      </c>
      <c r="G18" s="364"/>
      <c r="H18" s="364"/>
      <c r="I18" s="364" t="s">
        <v>195</v>
      </c>
      <c r="J18" s="364"/>
      <c r="K18" s="364"/>
      <c r="L18" s="364"/>
      <c r="M18" s="16"/>
      <c r="N18" s="16"/>
      <c r="O18" s="16"/>
      <c r="P18" s="16"/>
      <c r="Q18" s="9"/>
      <c r="R18" s="9"/>
      <c r="S18" s="9"/>
      <c r="T18" s="9"/>
      <c r="U18" s="9"/>
      <c r="V18" s="9"/>
      <c r="W18" s="9"/>
      <c r="X18" s="9"/>
      <c r="Y18" s="9"/>
      <c r="Z18" s="9"/>
      <c r="AA18" s="9"/>
      <c r="AB18" s="9"/>
      <c r="AC18" s="9"/>
      <c r="AD18" s="9"/>
      <c r="AE18" s="9"/>
      <c r="AF18" s="9"/>
      <c r="AG18" s="9"/>
      <c r="AH18" s="9"/>
      <c r="AI18" s="9"/>
      <c r="AJ18" s="9"/>
      <c r="AK18" s="9"/>
      <c r="AL18" s="9"/>
      <c r="AM18" s="18"/>
      <c r="AN18" s="18"/>
      <c r="AO18" s="18"/>
      <c r="AP18" s="18"/>
      <c r="AQ18" s="18"/>
      <c r="AR18" s="18"/>
      <c r="AS18" s="18"/>
      <c r="AT18" s="18"/>
      <c r="AU18" s="18"/>
      <c r="AV18" s="18"/>
      <c r="AW18" s="18"/>
      <c r="AX18" s="19"/>
      <c r="AY18" s="19"/>
      <c r="AZ18" s="19"/>
      <c r="BA18" s="19"/>
      <c r="BB18" s="19"/>
    </row>
    <row r="19" spans="1:54" ht="99.95" customHeight="1" x14ac:dyDescent="0.4">
      <c r="A19" s="354" t="s">
        <v>196</v>
      </c>
      <c r="B19" s="354"/>
      <c r="C19" s="355" t="s">
        <v>327</v>
      </c>
      <c r="D19" s="355"/>
      <c r="E19" s="355"/>
      <c r="F19" s="355" t="s">
        <v>328</v>
      </c>
      <c r="G19" s="355"/>
      <c r="H19" s="355"/>
      <c r="I19" s="365"/>
      <c r="J19" s="365"/>
      <c r="K19" s="365"/>
      <c r="L19" s="365"/>
      <c r="M19" s="16"/>
      <c r="N19" s="16"/>
      <c r="O19" s="16"/>
      <c r="P19" s="16"/>
      <c r="Q19" s="9"/>
      <c r="R19" s="9"/>
      <c r="S19" s="9"/>
      <c r="T19" s="9"/>
      <c r="U19" s="9"/>
      <c r="V19" s="9"/>
      <c r="W19" s="9"/>
      <c r="X19" s="9"/>
      <c r="Y19" s="9"/>
      <c r="Z19" s="9"/>
      <c r="AA19" s="9"/>
      <c r="AB19" s="9"/>
      <c r="AC19" s="9"/>
      <c r="AD19" s="9"/>
      <c r="AE19" s="9"/>
      <c r="AF19" s="9"/>
      <c r="AG19" s="9"/>
      <c r="AH19" s="9"/>
      <c r="AI19" s="9"/>
      <c r="AJ19" s="9"/>
      <c r="AK19" s="9"/>
      <c r="AL19" s="9"/>
      <c r="AM19" s="18"/>
      <c r="AN19" s="18"/>
      <c r="AO19" s="18"/>
      <c r="AP19" s="18"/>
      <c r="AQ19" s="18"/>
      <c r="AR19" s="18"/>
      <c r="AS19" s="18"/>
      <c r="AT19" s="18"/>
      <c r="AU19" s="18"/>
      <c r="AV19" s="18"/>
      <c r="AW19" s="18"/>
      <c r="AX19" s="19"/>
      <c r="AY19" s="19"/>
      <c r="AZ19" s="19"/>
      <c r="BA19" s="19"/>
      <c r="BB19" s="19"/>
    </row>
    <row r="20" spans="1:54" ht="60.75" customHeight="1" x14ac:dyDescent="0.4">
      <c r="A20" s="354" t="s">
        <v>197</v>
      </c>
      <c r="B20" s="354"/>
      <c r="C20" s="355" t="s">
        <v>219</v>
      </c>
      <c r="D20" s="355"/>
      <c r="E20" s="355"/>
      <c r="F20" s="355" t="s">
        <v>313</v>
      </c>
      <c r="G20" s="355"/>
      <c r="H20" s="355"/>
      <c r="I20" s="365"/>
      <c r="J20" s="365"/>
      <c r="K20" s="365"/>
      <c r="L20" s="365"/>
      <c r="M20" s="16"/>
      <c r="N20" s="16"/>
      <c r="O20" s="16"/>
      <c r="P20" s="16"/>
      <c r="Q20" s="9"/>
      <c r="R20" s="9"/>
      <c r="S20" s="9"/>
      <c r="T20" s="9"/>
      <c r="U20" s="9"/>
      <c r="V20" s="9"/>
      <c r="W20" s="9"/>
      <c r="X20" s="9"/>
      <c r="Y20" s="9"/>
      <c r="Z20" s="9"/>
      <c r="AA20" s="9"/>
      <c r="AB20" s="9"/>
      <c r="AC20" s="9"/>
      <c r="AD20" s="9"/>
      <c r="AE20" s="9"/>
      <c r="AF20" s="9"/>
      <c r="AG20" s="9"/>
      <c r="AH20" s="9"/>
      <c r="AI20" s="9"/>
      <c r="AJ20" s="9"/>
      <c r="AK20" s="9"/>
      <c r="AL20" s="9"/>
      <c r="AM20" s="18"/>
      <c r="AN20" s="18"/>
      <c r="AO20" s="18"/>
      <c r="AP20" s="18"/>
      <c r="AQ20" s="18"/>
      <c r="AR20" s="18"/>
      <c r="AS20" s="18"/>
      <c r="AT20" s="18"/>
      <c r="AU20" s="18"/>
      <c r="AV20" s="18"/>
      <c r="AW20" s="18"/>
      <c r="AX20" s="19"/>
      <c r="AY20" s="19"/>
      <c r="AZ20" s="19"/>
      <c r="BA20" s="19"/>
      <c r="BB20" s="19"/>
    </row>
    <row r="21" spans="1:54" ht="99.95" customHeight="1" x14ac:dyDescent="0.4">
      <c r="A21" s="354" t="s">
        <v>198</v>
      </c>
      <c r="B21" s="354"/>
      <c r="C21" s="355" t="s">
        <v>219</v>
      </c>
      <c r="D21" s="355"/>
      <c r="E21" s="355"/>
      <c r="F21" s="355" t="s">
        <v>329</v>
      </c>
      <c r="G21" s="355"/>
      <c r="H21" s="355"/>
      <c r="I21" s="365"/>
      <c r="J21" s="365"/>
      <c r="K21" s="365"/>
      <c r="L21" s="365"/>
      <c r="M21" s="16"/>
      <c r="N21" s="16"/>
      <c r="O21" s="16"/>
      <c r="P21" s="16"/>
      <c r="Q21" s="9"/>
      <c r="R21" s="9"/>
      <c r="S21" s="9"/>
      <c r="T21" s="9"/>
      <c r="U21" s="9"/>
      <c r="V21" s="9"/>
      <c r="W21" s="9"/>
      <c r="X21" s="9"/>
      <c r="Y21" s="9"/>
      <c r="Z21" s="9"/>
      <c r="AA21" s="9"/>
      <c r="AB21" s="9"/>
      <c r="AC21" s="9"/>
      <c r="AD21" s="9"/>
      <c r="AE21" s="9"/>
      <c r="AF21" s="9"/>
      <c r="AG21" s="9"/>
      <c r="AH21" s="9"/>
      <c r="AI21" s="9"/>
      <c r="AJ21" s="9"/>
      <c r="AK21" s="9"/>
      <c r="AL21" s="9"/>
      <c r="AM21" s="18"/>
      <c r="AN21" s="18"/>
      <c r="AO21" s="18"/>
      <c r="AP21" s="18"/>
      <c r="AQ21" s="18"/>
      <c r="AR21" s="18"/>
      <c r="AS21" s="18"/>
      <c r="AT21" s="18"/>
      <c r="AU21" s="18"/>
      <c r="AV21" s="18"/>
      <c r="AW21" s="18"/>
      <c r="AX21" s="19"/>
      <c r="AY21" s="19"/>
      <c r="AZ21" s="19"/>
      <c r="BA21" s="19"/>
      <c r="BB21" s="19"/>
    </row>
    <row r="22" spans="1:54" ht="13.5" x14ac:dyDescent="0.35">
      <c r="A22" s="16"/>
      <c r="B22" s="16"/>
      <c r="C22" s="16"/>
      <c r="D22" s="16"/>
      <c r="E22" s="16"/>
      <c r="F22" s="16"/>
      <c r="G22" s="16"/>
      <c r="H22" s="16"/>
      <c r="I22" s="16"/>
      <c r="J22" s="16"/>
      <c r="K22" s="16"/>
      <c r="L22" s="16"/>
      <c r="M22" s="16"/>
      <c r="N22" s="16"/>
      <c r="O22" s="16"/>
      <c r="P22" s="16"/>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9"/>
      <c r="AY22" s="19"/>
      <c r="AZ22" s="19"/>
      <c r="BA22" s="19"/>
    </row>
    <row r="23" spans="1:54" ht="13.5" x14ac:dyDescent="0.35">
      <c r="A23" s="16"/>
      <c r="B23" s="16"/>
      <c r="C23" s="16"/>
      <c r="D23" s="16"/>
      <c r="E23" s="16"/>
      <c r="F23" s="16"/>
      <c r="G23" s="16"/>
      <c r="H23" s="16"/>
      <c r="I23" s="16"/>
      <c r="J23" s="16"/>
      <c r="K23" s="16"/>
      <c r="L23" s="16"/>
      <c r="M23" s="16"/>
      <c r="N23" s="16"/>
      <c r="O23" s="16"/>
      <c r="P23" s="16"/>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9"/>
      <c r="AY23" s="19"/>
      <c r="AZ23" s="19"/>
      <c r="BA23" s="19"/>
    </row>
    <row r="24" spans="1:54" ht="13.5" x14ac:dyDescent="0.35">
      <c r="A24" s="16"/>
      <c r="B24" s="16"/>
      <c r="C24" s="16"/>
      <c r="D24" s="16"/>
      <c r="E24" s="16"/>
      <c r="F24" s="16"/>
      <c r="G24" s="16"/>
      <c r="H24" s="16"/>
      <c r="I24" s="16"/>
      <c r="J24" s="16"/>
      <c r="K24" s="16"/>
      <c r="L24" s="16"/>
      <c r="M24" s="16"/>
      <c r="N24" s="16"/>
      <c r="O24" s="16"/>
      <c r="P24" s="16"/>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9"/>
      <c r="AY24" s="19"/>
      <c r="AZ24" s="19"/>
      <c r="BA24" s="19"/>
    </row>
    <row r="25" spans="1:54" ht="13.5" x14ac:dyDescent="0.35">
      <c r="A25" s="16"/>
      <c r="B25" s="16"/>
      <c r="C25" s="16"/>
      <c r="D25" s="16"/>
      <c r="E25" s="16"/>
      <c r="F25" s="16"/>
      <c r="G25" s="16"/>
      <c r="H25" s="16"/>
      <c r="I25" s="16"/>
      <c r="J25" s="16"/>
      <c r="K25" s="16"/>
      <c r="L25" s="16"/>
      <c r="M25" s="16"/>
      <c r="N25" s="16"/>
      <c r="O25" s="16"/>
      <c r="P25" s="16"/>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9"/>
      <c r="AY25" s="19"/>
      <c r="AZ25" s="19"/>
      <c r="BA25" s="19"/>
    </row>
    <row r="26" spans="1:54" ht="13.5" x14ac:dyDescent="0.35">
      <c r="A26" s="16"/>
      <c r="B26" s="16"/>
      <c r="C26" s="16"/>
      <c r="D26" s="16"/>
      <c r="E26" s="16"/>
      <c r="F26" s="16"/>
      <c r="G26" s="16"/>
      <c r="H26" s="16"/>
      <c r="I26" s="16"/>
      <c r="J26" s="16"/>
      <c r="K26" s="16"/>
      <c r="L26" s="16"/>
      <c r="M26" s="16"/>
      <c r="N26" s="16"/>
      <c r="O26" s="16"/>
      <c r="P26" s="16"/>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9"/>
      <c r="AY26" s="19"/>
      <c r="AZ26" s="19"/>
      <c r="BA26" s="19"/>
    </row>
    <row r="27" spans="1:54" ht="13.5" x14ac:dyDescent="0.35">
      <c r="A27" s="16"/>
      <c r="B27" s="16"/>
      <c r="C27" s="16"/>
      <c r="D27" s="16"/>
      <c r="E27" s="16"/>
      <c r="F27" s="16"/>
      <c r="G27" s="16"/>
      <c r="H27" s="16"/>
      <c r="I27" s="16"/>
      <c r="J27" s="16"/>
      <c r="K27" s="16"/>
      <c r="L27" s="16"/>
      <c r="M27" s="16"/>
      <c r="N27" s="16"/>
      <c r="O27" s="16"/>
      <c r="P27" s="16"/>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9"/>
      <c r="AY27" s="19"/>
      <c r="AZ27" s="19"/>
      <c r="BA27" s="19"/>
    </row>
    <row r="28" spans="1:54" ht="13.5" x14ac:dyDescent="0.35">
      <c r="A28" s="16"/>
      <c r="B28" s="16"/>
      <c r="C28" s="16"/>
      <c r="D28" s="16"/>
      <c r="E28" s="16"/>
      <c r="F28" s="16"/>
      <c r="G28" s="16"/>
      <c r="H28" s="16"/>
      <c r="I28" s="16"/>
      <c r="J28" s="16"/>
      <c r="K28" s="16"/>
      <c r="L28" s="16"/>
      <c r="M28" s="16"/>
      <c r="N28" s="16"/>
      <c r="O28" s="16"/>
      <c r="P28" s="16"/>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9"/>
      <c r="AY28" s="19"/>
      <c r="AZ28" s="19"/>
      <c r="BA28" s="19"/>
    </row>
    <row r="29" spans="1:54" ht="13.5" x14ac:dyDescent="0.35">
      <c r="A29" s="15"/>
      <c r="B29" s="15"/>
      <c r="C29" s="16"/>
      <c r="D29" s="16"/>
      <c r="E29" s="16"/>
      <c r="F29" s="16"/>
      <c r="G29" s="16"/>
      <c r="H29" s="16"/>
      <c r="I29" s="16"/>
      <c r="J29" s="16"/>
      <c r="K29" s="16"/>
      <c r="L29" s="16"/>
      <c r="M29" s="16"/>
      <c r="N29" s="16"/>
      <c r="O29" s="16"/>
      <c r="P29" s="16"/>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9"/>
      <c r="AY29" s="19"/>
      <c r="AZ29" s="19"/>
      <c r="BA29" s="19"/>
    </row>
    <row r="30" spans="1:54" ht="13.5" x14ac:dyDescent="0.35">
      <c r="A30" s="16"/>
      <c r="B30" s="16"/>
      <c r="C30" s="16"/>
      <c r="D30" s="16"/>
      <c r="E30" s="16"/>
      <c r="F30" s="16"/>
      <c r="G30" s="16"/>
      <c r="H30" s="16"/>
      <c r="I30" s="16"/>
      <c r="J30" s="16"/>
      <c r="K30" s="16"/>
      <c r="L30" s="16"/>
      <c r="M30" s="16"/>
      <c r="N30" s="16"/>
      <c r="O30" s="16"/>
      <c r="P30" s="16"/>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9"/>
      <c r="AY30" s="19"/>
      <c r="AZ30" s="19"/>
      <c r="BA30" s="19"/>
    </row>
    <row r="31" spans="1:54" ht="13.5" x14ac:dyDescent="0.35">
      <c r="A31" s="16"/>
      <c r="B31" s="16"/>
      <c r="C31" s="16"/>
      <c r="D31" s="16"/>
      <c r="E31" s="16"/>
      <c r="F31" s="16"/>
      <c r="G31" s="16"/>
      <c r="H31" s="16"/>
      <c r="I31" s="16"/>
      <c r="J31" s="16"/>
      <c r="K31" s="16"/>
      <c r="L31" s="16"/>
      <c r="M31" s="16"/>
      <c r="N31" s="16"/>
      <c r="O31" s="16"/>
      <c r="P31" s="16"/>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9"/>
      <c r="AY31" s="19"/>
      <c r="AZ31" s="19"/>
      <c r="BA31" s="19"/>
    </row>
    <row r="32" spans="1:54" ht="13.5" x14ac:dyDescent="0.35">
      <c r="A32" s="16"/>
      <c r="B32" s="16"/>
      <c r="C32" s="16"/>
      <c r="D32" s="16"/>
      <c r="E32" s="16"/>
      <c r="F32" s="16"/>
      <c r="G32" s="16"/>
      <c r="H32" s="16"/>
      <c r="I32" s="16"/>
      <c r="J32" s="16"/>
      <c r="K32" s="16"/>
      <c r="L32" s="16"/>
      <c r="M32" s="16"/>
      <c r="N32" s="16"/>
      <c r="O32" s="16"/>
      <c r="P32" s="16"/>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9"/>
      <c r="AY32" s="19"/>
      <c r="AZ32" s="19"/>
      <c r="BA32" s="19"/>
    </row>
    <row r="33" spans="1:53" ht="13.5" x14ac:dyDescent="0.35">
      <c r="A33" s="16"/>
      <c r="B33" s="16"/>
      <c r="C33" s="16"/>
      <c r="D33" s="16"/>
      <c r="E33" s="16"/>
      <c r="F33" s="16"/>
      <c r="G33" s="16"/>
      <c r="H33" s="16"/>
      <c r="I33" s="16"/>
      <c r="J33" s="16"/>
      <c r="K33" s="16"/>
      <c r="L33" s="16"/>
      <c r="M33" s="16"/>
      <c r="N33" s="16"/>
      <c r="O33" s="16"/>
      <c r="P33" s="16"/>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9"/>
      <c r="AY33" s="19"/>
      <c r="AZ33" s="19"/>
      <c r="BA33" s="19"/>
    </row>
    <row r="34" spans="1:53" ht="13.5" x14ac:dyDescent="0.35">
      <c r="A34" s="16"/>
      <c r="B34" s="16"/>
      <c r="C34" s="16"/>
      <c r="D34" s="16"/>
      <c r="E34" s="16"/>
      <c r="F34" s="16"/>
      <c r="G34" s="16"/>
      <c r="H34" s="16"/>
      <c r="I34" s="16"/>
      <c r="J34" s="16"/>
      <c r="K34" s="16"/>
      <c r="L34" s="16"/>
      <c r="M34" s="16"/>
      <c r="N34" s="16"/>
      <c r="O34" s="16"/>
      <c r="P34" s="16"/>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9"/>
      <c r="AY34" s="19"/>
      <c r="AZ34" s="19"/>
      <c r="BA34" s="19"/>
    </row>
    <row r="35" spans="1:53" ht="13.5" x14ac:dyDescent="0.35">
      <c r="A35" s="16"/>
      <c r="B35" s="16"/>
      <c r="C35" s="16"/>
      <c r="D35" s="16"/>
      <c r="E35" s="16"/>
      <c r="F35" s="16"/>
      <c r="G35" s="16"/>
      <c r="H35" s="16"/>
      <c r="I35" s="16"/>
      <c r="J35" s="16"/>
      <c r="K35" s="16"/>
      <c r="L35" s="16"/>
      <c r="M35" s="16"/>
      <c r="N35" s="16"/>
      <c r="O35" s="16"/>
      <c r="P35" s="16"/>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9"/>
      <c r="AY35" s="19"/>
      <c r="AZ35" s="19"/>
      <c r="BA35" s="19"/>
    </row>
    <row r="36" spans="1:53" ht="13.5" x14ac:dyDescent="0.35">
      <c r="A36" s="16"/>
      <c r="B36" s="16"/>
      <c r="C36" s="16"/>
      <c r="D36" s="16"/>
      <c r="E36" s="16"/>
      <c r="F36" s="16"/>
      <c r="G36" s="16"/>
      <c r="H36" s="16"/>
      <c r="I36" s="16"/>
      <c r="J36" s="16"/>
      <c r="K36" s="16"/>
      <c r="L36" s="16"/>
      <c r="M36" s="16"/>
      <c r="N36" s="16"/>
      <c r="O36" s="16"/>
      <c r="P36" s="16"/>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9"/>
      <c r="AY36" s="19"/>
      <c r="AZ36" s="19"/>
      <c r="BA36" s="19"/>
    </row>
    <row r="37" spans="1:53" ht="13.5" x14ac:dyDescent="0.35">
      <c r="A37" s="16"/>
      <c r="B37" s="16"/>
      <c r="C37" s="16"/>
      <c r="D37" s="16"/>
      <c r="E37" s="16"/>
      <c r="F37" s="16"/>
      <c r="G37" s="16"/>
      <c r="H37" s="16"/>
      <c r="I37" s="16"/>
      <c r="J37" s="16"/>
      <c r="K37" s="16"/>
      <c r="L37" s="16"/>
      <c r="M37" s="16"/>
      <c r="N37" s="16"/>
      <c r="O37" s="16"/>
      <c r="P37" s="16"/>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9"/>
      <c r="AY37" s="19"/>
      <c r="AZ37" s="19"/>
      <c r="BA37" s="19"/>
    </row>
    <row r="38" spans="1:53" ht="13.5" x14ac:dyDescent="0.35">
      <c r="A38" s="16"/>
      <c r="B38" s="16"/>
      <c r="C38" s="16"/>
      <c r="D38" s="16"/>
      <c r="E38" s="16"/>
      <c r="F38" s="16"/>
      <c r="G38" s="16"/>
      <c r="H38" s="16"/>
      <c r="I38" s="16"/>
      <c r="J38" s="16"/>
      <c r="K38" s="16"/>
      <c r="L38" s="16"/>
      <c r="M38" s="16"/>
      <c r="N38" s="16"/>
      <c r="O38" s="16"/>
      <c r="P38" s="16"/>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9"/>
      <c r="AY38" s="19"/>
      <c r="AZ38" s="19"/>
      <c r="BA38" s="19"/>
    </row>
    <row r="39" spans="1:53" ht="13.5" x14ac:dyDescent="0.35">
      <c r="A39" s="16"/>
      <c r="B39" s="16"/>
      <c r="C39" s="16"/>
      <c r="D39" s="16"/>
      <c r="E39" s="16"/>
      <c r="F39" s="16"/>
      <c r="G39" s="16"/>
      <c r="H39" s="16"/>
      <c r="I39" s="16"/>
      <c r="J39" s="16"/>
      <c r="K39" s="16"/>
      <c r="L39" s="16"/>
      <c r="M39" s="16"/>
      <c r="N39" s="16"/>
      <c r="O39" s="16"/>
      <c r="P39" s="16"/>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9"/>
      <c r="AY39" s="19"/>
      <c r="AZ39" s="19"/>
      <c r="BA39" s="19"/>
    </row>
    <row r="40" spans="1:53" ht="13.5" x14ac:dyDescent="0.35">
      <c r="A40" s="10"/>
      <c r="B40" s="10"/>
      <c r="C40" s="10"/>
      <c r="D40" s="10"/>
      <c r="E40" s="10"/>
      <c r="F40" s="10"/>
      <c r="G40" s="10"/>
      <c r="H40" s="10"/>
      <c r="I40" s="10"/>
      <c r="J40" s="10"/>
      <c r="K40" s="10"/>
      <c r="L40" s="10"/>
      <c r="M40" s="10"/>
      <c r="N40" s="16"/>
      <c r="O40" s="16"/>
      <c r="P40" s="16"/>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9"/>
      <c r="AY40" s="19"/>
      <c r="AZ40" s="19"/>
      <c r="BA40" s="19"/>
    </row>
    <row r="41" spans="1:53" ht="24.95" customHeight="1" x14ac:dyDescent="0.35">
      <c r="A41" s="346"/>
      <c r="B41" s="346"/>
      <c r="C41" s="346"/>
      <c r="D41" s="346"/>
      <c r="E41" s="346"/>
      <c r="F41" s="346"/>
      <c r="G41" s="346"/>
      <c r="H41" s="346"/>
      <c r="I41" s="346"/>
      <c r="J41" s="346"/>
      <c r="K41" s="346"/>
      <c r="L41" s="346"/>
      <c r="M41" s="10"/>
      <c r="N41" s="16"/>
      <c r="O41" s="16"/>
      <c r="P41" s="16"/>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9"/>
      <c r="AY41" s="19"/>
      <c r="AZ41" s="19"/>
      <c r="BA41" s="19"/>
    </row>
    <row r="42" spans="1:53" ht="13.5" x14ac:dyDescent="0.35">
      <c r="A42" s="22"/>
      <c r="B42" s="22"/>
      <c r="C42" s="22"/>
      <c r="D42" s="22"/>
      <c r="E42" s="22"/>
      <c r="F42" s="22"/>
      <c r="G42" s="22"/>
      <c r="H42" s="22"/>
      <c r="I42" s="22"/>
      <c r="J42" s="22"/>
      <c r="K42" s="22"/>
      <c r="L42" s="22"/>
      <c r="M42" s="7"/>
      <c r="N42" s="16"/>
      <c r="O42" s="16"/>
      <c r="P42" s="16"/>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9"/>
      <c r="AY42" s="19"/>
      <c r="AZ42" s="19"/>
      <c r="BA42" s="19"/>
    </row>
    <row r="43" spans="1:53" ht="20.65" x14ac:dyDescent="0.6">
      <c r="A43" s="30"/>
      <c r="B43" s="30"/>
      <c r="C43" s="23"/>
      <c r="D43" s="23"/>
      <c r="E43" s="23"/>
      <c r="F43" s="23"/>
      <c r="G43" s="23"/>
      <c r="H43" s="23"/>
      <c r="I43" s="23"/>
      <c r="J43" s="23"/>
      <c r="K43" s="23"/>
      <c r="L43" s="23"/>
      <c r="M43" s="10"/>
      <c r="N43" s="16"/>
      <c r="O43" s="16"/>
      <c r="P43" s="16"/>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9"/>
      <c r="AY43" s="19"/>
      <c r="AZ43" s="19"/>
      <c r="BA43" s="19"/>
    </row>
    <row r="44" spans="1:53" ht="13.5" x14ac:dyDescent="0.35">
      <c r="A44" s="24"/>
      <c r="B44" s="24"/>
      <c r="C44" s="25"/>
      <c r="D44" s="25"/>
      <c r="E44" s="25"/>
      <c r="F44" s="25"/>
      <c r="G44" s="25"/>
      <c r="H44" s="25"/>
      <c r="I44" s="25"/>
      <c r="J44" s="25"/>
      <c r="K44" s="25"/>
      <c r="L44" s="25"/>
      <c r="M44" s="7"/>
      <c r="N44" s="16"/>
      <c r="O44" s="16"/>
      <c r="P44" s="16"/>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9"/>
      <c r="AY44" s="19"/>
      <c r="AZ44" s="19"/>
      <c r="BA44" s="19"/>
    </row>
    <row r="45" spans="1:53" ht="27.75" x14ac:dyDescent="0.75">
      <c r="A45" s="31"/>
      <c r="B45" s="31"/>
      <c r="C45" s="27"/>
      <c r="D45" s="27"/>
      <c r="E45" s="27"/>
      <c r="F45" s="23"/>
      <c r="G45" s="23"/>
      <c r="H45" s="23"/>
      <c r="I45" s="23"/>
      <c r="J45" s="23"/>
      <c r="K45" s="23"/>
      <c r="L45" s="23"/>
      <c r="M45" s="10"/>
      <c r="N45" s="16"/>
      <c r="O45" s="16"/>
      <c r="P45" s="16"/>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9"/>
      <c r="AY45" s="19"/>
      <c r="AZ45" s="19"/>
      <c r="BA45" s="19"/>
    </row>
    <row r="46" spans="1:53" ht="25.15" x14ac:dyDescent="0.7">
      <c r="A46" s="32"/>
      <c r="B46" s="32"/>
      <c r="C46" s="27"/>
      <c r="D46" s="27"/>
      <c r="E46" s="27"/>
      <c r="F46" s="23"/>
      <c r="G46" s="23"/>
      <c r="H46" s="23"/>
      <c r="I46" s="23"/>
      <c r="J46" s="23"/>
      <c r="K46" s="23"/>
      <c r="L46" s="23"/>
      <c r="M46" s="10"/>
      <c r="N46" s="16"/>
      <c r="O46" s="16"/>
      <c r="P46" s="16"/>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9"/>
      <c r="AY46" s="19"/>
      <c r="AZ46" s="19"/>
      <c r="BA46" s="19"/>
    </row>
    <row r="47" spans="1:53" ht="15" x14ac:dyDescent="0.4">
      <c r="A47" s="26"/>
      <c r="B47" s="26"/>
      <c r="C47" s="23"/>
      <c r="D47" s="23"/>
      <c r="E47" s="23"/>
      <c r="F47" s="23"/>
      <c r="G47" s="23"/>
      <c r="H47" s="23"/>
      <c r="I47" s="23"/>
      <c r="J47" s="23"/>
      <c r="K47" s="23"/>
      <c r="L47" s="23"/>
      <c r="M47" s="10"/>
      <c r="N47" s="16"/>
      <c r="O47" s="16"/>
      <c r="P47" s="16"/>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9"/>
      <c r="AY47" s="19"/>
      <c r="AZ47" s="19"/>
      <c r="BA47" s="19"/>
    </row>
    <row r="48" spans="1:53" ht="15" x14ac:dyDescent="0.4">
      <c r="A48" s="26"/>
      <c r="B48" s="26"/>
      <c r="C48" s="23"/>
      <c r="D48" s="23"/>
      <c r="E48" s="23"/>
      <c r="F48" s="23"/>
      <c r="G48" s="23"/>
      <c r="H48" s="23"/>
      <c r="I48" s="23"/>
      <c r="J48" s="23"/>
      <c r="K48" s="23"/>
      <c r="L48" s="23"/>
      <c r="M48" s="10"/>
      <c r="N48" s="16"/>
      <c r="O48" s="16"/>
      <c r="P48" s="16"/>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9"/>
      <c r="AY48" s="19"/>
      <c r="AZ48" s="19"/>
      <c r="BA48" s="19"/>
    </row>
    <row r="49" spans="1:53" ht="15" x14ac:dyDescent="0.4">
      <c r="A49" s="26"/>
      <c r="B49" s="26"/>
      <c r="C49" s="23"/>
      <c r="D49" s="23"/>
      <c r="E49" s="23"/>
      <c r="F49" s="23"/>
      <c r="G49" s="23"/>
      <c r="H49" s="23"/>
      <c r="I49" s="23"/>
      <c r="J49" s="23"/>
      <c r="K49" s="23"/>
      <c r="L49" s="23"/>
      <c r="M49" s="10"/>
      <c r="N49" s="16"/>
      <c r="O49" s="16"/>
      <c r="P49" s="16"/>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9"/>
      <c r="AY49" s="19"/>
      <c r="AZ49" s="19"/>
      <c r="BA49" s="19"/>
    </row>
    <row r="50" spans="1:53" ht="15" x14ac:dyDescent="0.4">
      <c r="A50" s="26"/>
      <c r="B50" s="26"/>
      <c r="C50" s="23"/>
      <c r="D50" s="23"/>
      <c r="E50" s="23"/>
      <c r="F50" s="23"/>
      <c r="G50" s="23"/>
      <c r="H50" s="23"/>
      <c r="I50" s="23"/>
      <c r="J50" s="23"/>
      <c r="K50" s="23"/>
      <c r="L50" s="23"/>
      <c r="M50" s="10"/>
      <c r="N50" s="16"/>
      <c r="O50" s="16"/>
      <c r="P50" s="16"/>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9"/>
      <c r="AY50" s="19"/>
      <c r="AZ50" s="19"/>
      <c r="BA50" s="19"/>
    </row>
    <row r="51" spans="1:53" ht="15" x14ac:dyDescent="0.4">
      <c r="A51" s="26"/>
      <c r="B51" s="26"/>
      <c r="C51" s="23"/>
      <c r="D51" s="23"/>
      <c r="E51" s="23"/>
      <c r="F51" s="23"/>
      <c r="G51" s="23"/>
      <c r="H51" s="23"/>
      <c r="I51" s="23"/>
      <c r="J51" s="23"/>
      <c r="K51" s="23"/>
      <c r="L51" s="23"/>
      <c r="M51" s="10"/>
      <c r="N51" s="16"/>
      <c r="O51" s="16"/>
      <c r="P51" s="16"/>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9"/>
      <c r="AY51" s="19"/>
      <c r="AZ51" s="19"/>
      <c r="BA51" s="19"/>
    </row>
    <row r="52" spans="1:53" ht="17.649999999999999" x14ac:dyDescent="0.5">
      <c r="A52" s="33"/>
      <c r="B52" s="33"/>
      <c r="C52" s="23"/>
      <c r="D52" s="23"/>
      <c r="E52" s="23"/>
      <c r="F52" s="23"/>
      <c r="G52" s="23"/>
      <c r="H52" s="23"/>
      <c r="I52" s="23"/>
      <c r="J52" s="23"/>
      <c r="K52" s="23"/>
      <c r="L52" s="23"/>
      <c r="M52" s="10"/>
      <c r="N52" s="16"/>
      <c r="O52" s="16"/>
      <c r="P52" s="16"/>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9"/>
      <c r="AY52" s="19"/>
      <c r="AZ52" s="19"/>
      <c r="BA52" s="19"/>
    </row>
    <row r="53" spans="1:53" ht="17.649999999999999" x14ac:dyDescent="0.5">
      <c r="A53" s="28"/>
      <c r="B53" s="28"/>
      <c r="C53" s="23"/>
      <c r="D53" s="23"/>
      <c r="E53" s="23"/>
      <c r="F53" s="23"/>
      <c r="G53" s="23"/>
      <c r="H53" s="23"/>
      <c r="I53" s="23"/>
      <c r="J53" s="23"/>
      <c r="K53" s="23"/>
      <c r="L53" s="23"/>
      <c r="M53" s="10"/>
      <c r="N53" s="16"/>
      <c r="O53" s="16"/>
      <c r="P53" s="16"/>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9"/>
      <c r="AY53" s="19"/>
      <c r="AZ53" s="19"/>
      <c r="BA53" s="19"/>
    </row>
    <row r="54" spans="1:53" ht="35.1" customHeight="1" x14ac:dyDescent="0.35">
      <c r="A54" s="29"/>
      <c r="B54" s="29"/>
      <c r="C54" s="29"/>
      <c r="D54" s="29"/>
      <c r="E54" s="29"/>
      <c r="F54" s="29"/>
      <c r="G54" s="29"/>
      <c r="H54" s="29"/>
      <c r="I54" s="29"/>
      <c r="J54" s="29"/>
      <c r="K54" s="29"/>
      <c r="L54" s="29"/>
      <c r="M54" s="7"/>
      <c r="N54" s="16"/>
      <c r="O54" s="16"/>
      <c r="P54" s="16"/>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9"/>
      <c r="AY54" s="19"/>
      <c r="AZ54" s="19"/>
      <c r="BA54" s="19"/>
    </row>
    <row r="55" spans="1:53" ht="13.5" x14ac:dyDescent="0.35">
      <c r="A55" s="7"/>
      <c r="B55" s="7"/>
      <c r="C55" s="7"/>
      <c r="D55" s="7"/>
      <c r="E55" s="7"/>
      <c r="F55" s="7"/>
      <c r="G55" s="7"/>
      <c r="H55" s="7"/>
      <c r="I55" s="7"/>
      <c r="J55" s="7"/>
      <c r="K55" s="7"/>
      <c r="L55" s="7"/>
      <c r="M55" s="7"/>
      <c r="N55" s="16"/>
      <c r="O55" s="16"/>
      <c r="P55" s="16"/>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9"/>
      <c r="AY55" s="19"/>
      <c r="AZ55" s="19"/>
      <c r="BA55" s="19"/>
    </row>
    <row r="56" spans="1:53" ht="13.5" x14ac:dyDescent="0.35">
      <c r="A56" s="16"/>
      <c r="B56" s="16"/>
      <c r="C56" s="16"/>
      <c r="D56" s="16"/>
      <c r="E56" s="16"/>
      <c r="F56" s="16"/>
      <c r="G56" s="16"/>
      <c r="H56" s="16"/>
      <c r="I56" s="16"/>
      <c r="J56" s="16"/>
      <c r="K56" s="16"/>
      <c r="L56" s="16"/>
      <c r="M56" s="16"/>
      <c r="N56" s="16"/>
      <c r="O56" s="16"/>
      <c r="P56" s="16"/>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9"/>
      <c r="AY56" s="19"/>
      <c r="AZ56" s="19"/>
      <c r="BA56" s="19"/>
    </row>
    <row r="57" spans="1:53" ht="13.5" x14ac:dyDescent="0.35">
      <c r="A57" s="16"/>
      <c r="B57" s="16"/>
      <c r="C57" s="16"/>
      <c r="D57" s="16"/>
      <c r="E57" s="16"/>
      <c r="F57" s="16"/>
      <c r="G57" s="16"/>
      <c r="H57" s="16"/>
      <c r="I57" s="16"/>
      <c r="J57" s="16"/>
      <c r="K57" s="16"/>
      <c r="L57" s="16"/>
      <c r="M57" s="16"/>
      <c r="N57" s="16"/>
      <c r="O57" s="16"/>
      <c r="P57" s="16"/>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9"/>
      <c r="AY57" s="19"/>
      <c r="AZ57" s="19"/>
      <c r="BA57" s="19"/>
    </row>
    <row r="58" spans="1:53" ht="13.5" x14ac:dyDescent="0.35">
      <c r="A58" s="16"/>
      <c r="B58" s="16"/>
      <c r="C58" s="16"/>
      <c r="D58" s="16"/>
      <c r="E58" s="16"/>
      <c r="F58" s="16"/>
      <c r="G58" s="16"/>
      <c r="H58" s="16"/>
      <c r="I58" s="16"/>
      <c r="J58" s="16"/>
      <c r="K58" s="16"/>
      <c r="L58" s="16"/>
      <c r="M58" s="16"/>
      <c r="N58" s="16"/>
      <c r="O58" s="16"/>
      <c r="P58" s="16"/>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9"/>
      <c r="AY58" s="19"/>
      <c r="AZ58" s="19"/>
      <c r="BA58" s="19"/>
    </row>
    <row r="59" spans="1:53" ht="13.5" x14ac:dyDescent="0.35">
      <c r="A59" s="16"/>
      <c r="B59" s="16"/>
      <c r="C59" s="16"/>
      <c r="D59" s="16"/>
      <c r="E59" s="16"/>
      <c r="F59" s="16"/>
      <c r="G59" s="16"/>
      <c r="H59" s="16"/>
      <c r="I59" s="16"/>
      <c r="J59" s="16"/>
      <c r="K59" s="16"/>
      <c r="L59" s="16"/>
      <c r="M59" s="16"/>
      <c r="N59" s="16"/>
      <c r="O59" s="16"/>
      <c r="P59" s="16"/>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9"/>
      <c r="AY59" s="19"/>
      <c r="AZ59" s="19"/>
      <c r="BA59" s="19"/>
    </row>
    <row r="60" spans="1:53" ht="13.5" x14ac:dyDescent="0.35">
      <c r="A60" s="16"/>
      <c r="B60" s="16"/>
      <c r="C60" s="16"/>
      <c r="D60" s="16"/>
      <c r="E60" s="16"/>
      <c r="F60" s="16"/>
      <c r="G60" s="16"/>
      <c r="H60" s="16"/>
      <c r="I60" s="16"/>
      <c r="J60" s="16"/>
      <c r="K60" s="16"/>
      <c r="L60" s="16"/>
      <c r="M60" s="16"/>
      <c r="N60" s="16"/>
      <c r="O60" s="16"/>
      <c r="P60" s="16"/>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9"/>
      <c r="AY60" s="19"/>
      <c r="AZ60" s="19"/>
      <c r="BA60" s="19"/>
    </row>
    <row r="61" spans="1:53" ht="13.5" x14ac:dyDescent="0.35">
      <c r="A61" s="16"/>
      <c r="B61" s="16"/>
      <c r="C61" s="16"/>
      <c r="D61" s="16"/>
      <c r="E61" s="16"/>
      <c r="F61" s="16"/>
      <c r="G61" s="16"/>
      <c r="H61" s="16"/>
      <c r="I61" s="16"/>
      <c r="J61" s="16"/>
      <c r="K61" s="16"/>
      <c r="L61" s="16"/>
      <c r="M61" s="16"/>
      <c r="N61" s="16"/>
      <c r="O61" s="16"/>
      <c r="P61" s="16"/>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9"/>
      <c r="AY61" s="19"/>
      <c r="AZ61" s="19"/>
      <c r="BA61" s="19"/>
    </row>
    <row r="62" spans="1:53" ht="13.5" x14ac:dyDescent="0.35">
      <c r="A62" s="16"/>
      <c r="B62" s="16"/>
      <c r="C62" s="16"/>
      <c r="D62" s="16"/>
      <c r="E62" s="16"/>
      <c r="F62" s="16"/>
      <c r="G62" s="16"/>
      <c r="H62" s="16"/>
      <c r="I62" s="16"/>
      <c r="J62" s="16"/>
      <c r="K62" s="16"/>
      <c r="L62" s="16"/>
      <c r="M62" s="16"/>
      <c r="N62" s="16"/>
      <c r="O62" s="16"/>
      <c r="P62" s="16"/>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9"/>
      <c r="AY62" s="19"/>
      <c r="AZ62" s="19"/>
      <c r="BA62" s="19"/>
    </row>
    <row r="63" spans="1:53" ht="13.5" x14ac:dyDescent="0.35">
      <c r="A63" s="16"/>
      <c r="B63" s="16"/>
      <c r="C63" s="16"/>
      <c r="D63" s="16"/>
      <c r="E63" s="16"/>
      <c r="F63" s="16"/>
      <c r="G63" s="16"/>
      <c r="H63" s="16"/>
      <c r="I63" s="16"/>
      <c r="J63" s="16"/>
      <c r="K63" s="16"/>
      <c r="L63" s="16"/>
      <c r="M63" s="16"/>
      <c r="N63" s="16"/>
      <c r="O63" s="16"/>
      <c r="P63" s="16"/>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9"/>
      <c r="AY63" s="19"/>
      <c r="AZ63" s="19"/>
      <c r="BA63" s="19"/>
    </row>
    <row r="64" spans="1:53" ht="13.5" x14ac:dyDescent="0.35">
      <c r="A64" s="16"/>
      <c r="B64" s="16"/>
      <c r="C64" s="16"/>
      <c r="D64" s="16"/>
      <c r="E64" s="16"/>
      <c r="F64" s="16"/>
      <c r="G64" s="16"/>
      <c r="H64" s="16"/>
      <c r="I64" s="16"/>
      <c r="J64" s="16"/>
      <c r="K64" s="16"/>
      <c r="L64" s="16"/>
      <c r="M64" s="16"/>
      <c r="N64" s="16"/>
      <c r="O64" s="16"/>
      <c r="P64" s="16"/>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9"/>
      <c r="AY64" s="19"/>
      <c r="AZ64" s="19"/>
      <c r="BA64" s="19"/>
    </row>
    <row r="65" spans="1:53" ht="13.5" x14ac:dyDescent="0.35">
      <c r="A65" s="16"/>
      <c r="B65" s="16"/>
      <c r="C65" s="16"/>
      <c r="D65" s="16"/>
      <c r="E65" s="16"/>
      <c r="F65" s="16"/>
      <c r="G65" s="16"/>
      <c r="H65" s="16"/>
      <c r="I65" s="16"/>
      <c r="J65" s="16"/>
      <c r="K65" s="16"/>
      <c r="L65" s="16"/>
      <c r="M65" s="16"/>
      <c r="N65" s="16"/>
      <c r="O65" s="16"/>
      <c r="P65" s="16"/>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9"/>
      <c r="AY65" s="19"/>
      <c r="AZ65" s="19"/>
      <c r="BA65" s="19"/>
    </row>
    <row r="66" spans="1:53" ht="13.5" x14ac:dyDescent="0.35">
      <c r="A66" s="16"/>
      <c r="B66" s="16"/>
      <c r="C66" s="16"/>
      <c r="D66" s="16"/>
      <c r="E66" s="16"/>
      <c r="F66" s="16"/>
      <c r="G66" s="16"/>
      <c r="H66" s="16"/>
      <c r="I66" s="16"/>
      <c r="J66" s="16"/>
      <c r="K66" s="16"/>
      <c r="L66" s="16"/>
      <c r="M66" s="16"/>
      <c r="N66" s="16"/>
      <c r="O66" s="16"/>
      <c r="P66" s="16"/>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9"/>
      <c r="AY66" s="19"/>
      <c r="AZ66" s="19"/>
      <c r="BA66" s="19"/>
    </row>
    <row r="67" spans="1:53" ht="13.5" x14ac:dyDescent="0.35">
      <c r="A67" s="16"/>
      <c r="B67" s="16"/>
      <c r="C67" s="16"/>
      <c r="D67" s="16"/>
      <c r="E67" s="16"/>
      <c r="F67" s="16"/>
      <c r="G67" s="16"/>
      <c r="H67" s="16"/>
      <c r="I67" s="16"/>
      <c r="J67" s="16"/>
      <c r="K67" s="16"/>
      <c r="L67" s="16"/>
      <c r="M67" s="16"/>
      <c r="N67" s="16"/>
      <c r="O67" s="16"/>
      <c r="P67" s="16"/>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9"/>
      <c r="AY67" s="19"/>
      <c r="AZ67" s="19"/>
      <c r="BA67" s="19"/>
    </row>
    <row r="68" spans="1:53" ht="13.5" x14ac:dyDescent="0.35">
      <c r="A68" s="16"/>
      <c r="B68" s="16"/>
      <c r="C68" s="16"/>
      <c r="D68" s="16"/>
      <c r="E68" s="16"/>
      <c r="F68" s="16"/>
      <c r="G68" s="16"/>
      <c r="H68" s="16"/>
      <c r="I68" s="16"/>
      <c r="J68" s="16"/>
      <c r="K68" s="16"/>
      <c r="L68" s="16"/>
      <c r="M68" s="16"/>
      <c r="N68" s="16"/>
      <c r="O68" s="16"/>
      <c r="P68" s="16"/>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9"/>
      <c r="AY68" s="19"/>
      <c r="AZ68" s="19"/>
      <c r="BA68" s="19"/>
    </row>
    <row r="69" spans="1:53" ht="13.5" x14ac:dyDescent="0.35">
      <c r="A69" s="16"/>
      <c r="B69" s="16"/>
      <c r="C69" s="16"/>
      <c r="D69" s="16"/>
      <c r="E69" s="16"/>
      <c r="F69" s="16"/>
      <c r="G69" s="16"/>
      <c r="H69" s="16"/>
      <c r="I69" s="16"/>
      <c r="J69" s="16"/>
      <c r="K69" s="16"/>
      <c r="L69" s="16"/>
      <c r="M69" s="16"/>
      <c r="N69" s="16"/>
      <c r="O69" s="16"/>
      <c r="P69" s="16"/>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9"/>
      <c r="AY69" s="19"/>
      <c r="AZ69" s="19"/>
      <c r="BA69" s="19"/>
    </row>
    <row r="70" spans="1:53" ht="13.5"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9"/>
      <c r="AY70" s="19"/>
      <c r="AZ70" s="19"/>
      <c r="BA70" s="19"/>
    </row>
    <row r="71" spans="1:53" ht="13.5"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9"/>
      <c r="AY71" s="19"/>
      <c r="AZ71" s="19"/>
      <c r="BA71" s="19"/>
    </row>
    <row r="72" spans="1:53" ht="13.5"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9"/>
      <c r="AY72" s="19"/>
      <c r="AZ72" s="19"/>
      <c r="BA72" s="19"/>
    </row>
    <row r="73" spans="1:53" ht="13.5"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9"/>
      <c r="AY73" s="19"/>
      <c r="AZ73" s="19"/>
      <c r="BA73" s="19"/>
    </row>
    <row r="74" spans="1:53" ht="13.5"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9"/>
      <c r="AY74" s="19"/>
      <c r="AZ74" s="19"/>
      <c r="BA74" s="19"/>
    </row>
    <row r="75" spans="1:53" ht="13.5"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9"/>
      <c r="AY75" s="19"/>
      <c r="AZ75" s="19"/>
      <c r="BA75" s="19"/>
    </row>
    <row r="76" spans="1:53" ht="13.5"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9"/>
      <c r="AY76" s="19"/>
      <c r="AZ76" s="19"/>
      <c r="BA76" s="19"/>
    </row>
    <row r="77" spans="1:53" ht="13.5"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9"/>
      <c r="AY77" s="19"/>
      <c r="AZ77" s="19"/>
      <c r="BA77" s="19"/>
    </row>
    <row r="78" spans="1:53" ht="13.5"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9"/>
      <c r="AY78" s="19"/>
      <c r="AZ78" s="19"/>
      <c r="BA78" s="19"/>
    </row>
    <row r="79" spans="1:53" ht="13.5"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9"/>
      <c r="AY79" s="19"/>
      <c r="AZ79" s="19"/>
      <c r="BA79" s="19"/>
    </row>
    <row r="80" spans="1:53" ht="13.5"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9"/>
      <c r="AY80" s="19"/>
      <c r="AZ80" s="19"/>
      <c r="BA80" s="19"/>
    </row>
    <row r="81" spans="1:53" ht="13.5"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9"/>
      <c r="AY81" s="19"/>
      <c r="AZ81" s="19"/>
      <c r="BA81" s="19"/>
    </row>
    <row r="82" spans="1:53" ht="13.5"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9"/>
      <c r="AY82" s="19"/>
      <c r="AZ82" s="19"/>
      <c r="BA82" s="19"/>
    </row>
    <row r="83" spans="1:53" ht="13.5"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9"/>
      <c r="AY83" s="19"/>
      <c r="AZ83" s="19"/>
      <c r="BA83" s="19"/>
    </row>
    <row r="84" spans="1:53" ht="13.5"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9"/>
      <c r="AY84" s="19"/>
      <c r="AZ84" s="19"/>
      <c r="BA84" s="19"/>
    </row>
    <row r="85" spans="1:53" ht="13.5"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9"/>
      <c r="AY85" s="19"/>
      <c r="AZ85" s="19"/>
      <c r="BA85" s="19"/>
    </row>
    <row r="86" spans="1:53" ht="13.5"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9"/>
      <c r="AY86" s="19"/>
      <c r="AZ86" s="19"/>
      <c r="BA86" s="19"/>
    </row>
    <row r="87" spans="1:53" ht="13.5"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9"/>
      <c r="AY87" s="19"/>
      <c r="AZ87" s="19"/>
      <c r="BA87" s="19"/>
    </row>
    <row r="88" spans="1:53" ht="13.5"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9"/>
      <c r="AY88" s="19"/>
      <c r="AZ88" s="19"/>
      <c r="BA88" s="19"/>
    </row>
    <row r="89" spans="1:53" ht="13.5"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9"/>
      <c r="AY89" s="19"/>
      <c r="AZ89" s="19"/>
      <c r="BA89" s="19"/>
    </row>
    <row r="90" spans="1:53" ht="13.5"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9"/>
      <c r="AY90" s="19"/>
      <c r="AZ90" s="19"/>
      <c r="BA90" s="19"/>
    </row>
    <row r="91" spans="1:53" ht="13.5"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9"/>
      <c r="AY91" s="19"/>
      <c r="AZ91" s="19"/>
      <c r="BA91" s="19"/>
    </row>
    <row r="92" spans="1:53" ht="13.5"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9"/>
      <c r="AY92" s="19"/>
      <c r="AZ92" s="19"/>
      <c r="BA92" s="19"/>
    </row>
    <row r="93" spans="1:53" ht="13.5"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9"/>
      <c r="AY93" s="19"/>
      <c r="AZ93" s="19"/>
      <c r="BA93" s="19"/>
    </row>
    <row r="94" spans="1:53" ht="13.5"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9"/>
      <c r="AY94" s="19"/>
      <c r="AZ94" s="19"/>
      <c r="BA94" s="19"/>
    </row>
    <row r="95" spans="1:53" ht="13.5"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9"/>
      <c r="AY95" s="19"/>
      <c r="AZ95" s="19"/>
      <c r="BA95" s="19"/>
    </row>
    <row r="96" spans="1:53" ht="13.5"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9"/>
      <c r="AY96" s="19"/>
      <c r="AZ96" s="19"/>
      <c r="BA96" s="19"/>
    </row>
    <row r="97" spans="1:53" ht="13.5"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9"/>
      <c r="AY97" s="19"/>
      <c r="AZ97" s="19"/>
      <c r="BA97" s="19"/>
    </row>
    <row r="98" spans="1:53" ht="13.5"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9"/>
      <c r="AY98" s="19"/>
      <c r="AZ98" s="19"/>
      <c r="BA98" s="19"/>
    </row>
    <row r="99" spans="1:53" ht="13.5"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9"/>
      <c r="AY99" s="19"/>
      <c r="AZ99" s="19"/>
      <c r="BA99" s="19"/>
    </row>
    <row r="100" spans="1:53" ht="13.5"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9"/>
      <c r="AY100" s="19"/>
      <c r="AZ100" s="19"/>
      <c r="BA100" s="19"/>
    </row>
    <row r="101" spans="1:53" ht="13.5"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9"/>
      <c r="AY101" s="19"/>
      <c r="AZ101" s="19"/>
      <c r="BA101" s="19"/>
    </row>
    <row r="102" spans="1:53" ht="13.5"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9"/>
      <c r="AY102" s="19"/>
      <c r="AZ102" s="19"/>
      <c r="BA102" s="19"/>
    </row>
    <row r="103" spans="1:53" x14ac:dyDescent="0.3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row>
    <row r="104" spans="1:53" x14ac:dyDescent="0.3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row>
    <row r="105" spans="1:53" x14ac:dyDescent="0.3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row>
    <row r="106" spans="1:53" x14ac:dyDescent="0.3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row>
    <row r="107" spans="1:53" x14ac:dyDescent="0.3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row>
    <row r="108" spans="1:53" x14ac:dyDescent="0.3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row>
    <row r="109" spans="1:53" x14ac:dyDescent="0.3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row>
    <row r="110" spans="1:53" x14ac:dyDescent="0.3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row>
    <row r="111" spans="1:53" x14ac:dyDescent="0.3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row>
    <row r="112" spans="1:53" x14ac:dyDescent="0.3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row>
    <row r="113" spans="1:53" x14ac:dyDescent="0.3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row>
    <row r="114" spans="1:53" x14ac:dyDescent="0.3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row>
    <row r="115" spans="1:53" x14ac:dyDescent="0.3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row>
    <row r="116" spans="1:53" x14ac:dyDescent="0.35">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row>
    <row r="117" spans="1:53" x14ac:dyDescent="0.35">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row>
    <row r="118" spans="1:53" x14ac:dyDescent="0.35">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row>
    <row r="119" spans="1:53" x14ac:dyDescent="0.35">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row>
    <row r="120" spans="1:53" x14ac:dyDescent="0.35">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row>
    <row r="121" spans="1:53" x14ac:dyDescent="0.35">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row>
    <row r="122" spans="1:53" x14ac:dyDescent="0.35">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row>
    <row r="123" spans="1:53" x14ac:dyDescent="0.35">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row>
    <row r="124" spans="1:53" x14ac:dyDescent="0.35">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row>
    <row r="125" spans="1:53" x14ac:dyDescent="0.35">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row>
    <row r="126" spans="1:53" x14ac:dyDescent="0.35">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row>
    <row r="127" spans="1:53" x14ac:dyDescent="0.35">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row>
    <row r="128" spans="1:53" x14ac:dyDescent="0.35">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row>
    <row r="129" spans="17:53" x14ac:dyDescent="0.35">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row>
    <row r="130" spans="17:53" x14ac:dyDescent="0.35">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row>
    <row r="131" spans="17:53" x14ac:dyDescent="0.35">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row>
    <row r="132" spans="17:53" x14ac:dyDescent="0.35">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row>
    <row r="133" spans="17:53" x14ac:dyDescent="0.35">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row>
    <row r="134" spans="17:53" x14ac:dyDescent="0.35">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row>
    <row r="135" spans="17:53" x14ac:dyDescent="0.35">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row>
    <row r="136" spans="17:53" x14ac:dyDescent="0.35">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row>
    <row r="137" spans="17:53" x14ac:dyDescent="0.35">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row>
    <row r="138" spans="17:53" x14ac:dyDescent="0.35">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row>
    <row r="139" spans="17:53" x14ac:dyDescent="0.35">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row>
    <row r="140" spans="17:53" x14ac:dyDescent="0.35">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row>
    <row r="141" spans="17:53" x14ac:dyDescent="0.35">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row>
    <row r="142" spans="17:53" x14ac:dyDescent="0.35">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row>
  </sheetData>
  <mergeCells count="37">
    <mergeCell ref="I18:L18"/>
    <mergeCell ref="I19:L19"/>
    <mergeCell ref="I20:L20"/>
    <mergeCell ref="I21:L21"/>
    <mergeCell ref="F21:H21"/>
    <mergeCell ref="A18:B18"/>
    <mergeCell ref="C18:E18"/>
    <mergeCell ref="F18:H18"/>
    <mergeCell ref="A19:B19"/>
    <mergeCell ref="C19:E19"/>
    <mergeCell ref="F19:H19"/>
    <mergeCell ref="A6:L7"/>
    <mergeCell ref="A8:B8"/>
    <mergeCell ref="D8:E8"/>
    <mergeCell ref="A2:B4"/>
    <mergeCell ref="C2:J2"/>
    <mergeCell ref="K2:L2"/>
    <mergeCell ref="C3:J3"/>
    <mergeCell ref="K3:L3"/>
    <mergeCell ref="C4:J4"/>
    <mergeCell ref="K4:L4"/>
    <mergeCell ref="D16:E16"/>
    <mergeCell ref="D14:E14"/>
    <mergeCell ref="A41:L41"/>
    <mergeCell ref="A9:B9"/>
    <mergeCell ref="J8:K8"/>
    <mergeCell ref="D12:F12"/>
    <mergeCell ref="J10:K10"/>
    <mergeCell ref="G8:H8"/>
    <mergeCell ref="J9:K9"/>
    <mergeCell ref="A11:L11"/>
    <mergeCell ref="A20:B20"/>
    <mergeCell ref="C20:E20"/>
    <mergeCell ref="F20:H20"/>
    <mergeCell ref="A21:B21"/>
    <mergeCell ref="C21:E21"/>
    <mergeCell ref="D9:E9"/>
  </mergeCells>
  <hyperlinks>
    <hyperlink ref="A8" location="arribaUNOA" tooltip="Ir a esta hoja" display="1a   Análisis del mercado " xr:uid="{00000000-0004-0000-0000-000000000000}"/>
    <hyperlink ref="A8:B8" location="'1a. Misión, Visión'!Área_de_impresión" tooltip="Ir a esta hoja" display="  1a. Misión, Visión y Valores" xr:uid="{00000000-0004-0000-0000-000001000000}"/>
    <hyperlink ref="D8:E8" location="'2a. Análisis Foda'!Área_de_impresión" tooltip="Ir a esta hoja" display="  3a.  Análisis FODA" xr:uid="{00000000-0004-0000-0000-000002000000}"/>
    <hyperlink ref="D9:E9" location="'2b. Matriz Posicionamiento'!Área_de_impresión" tooltip="Ir a esta hoja" display="  3b.  Matriz Posicionamiento Estratégico" xr:uid="{00000000-0004-0000-0000-000003000000}"/>
    <hyperlink ref="G8:H8" location="'3a.Matríz de Partes Interesadas'!A1" tooltip="Ir a esta hoja" display="  3a. Matriz Partes Interesadas" xr:uid="{00000000-0004-0000-0000-000004000000}"/>
    <hyperlink ref="A9" location="arribaUNOA" tooltip="Ir a esta hoja" display="1a   Análisis del mercado " xr:uid="{00000000-0004-0000-0000-000005000000}"/>
    <hyperlink ref="A9:B9" location="'1b. Política y Objetivos'!A1" tooltip="Ir a esta hoja" display="  1b. Política de Calidad y Objetivos de Calidad" xr:uid="{00000000-0004-0000-0000-000006000000}"/>
    <hyperlink ref="J8:K8" location="'4a. Parámetros de riesgo'!A1" tooltip="Ir a esta hoja" display="4a. Parámetros de riesgo" xr:uid="{00000000-0004-0000-0000-000007000000}"/>
    <hyperlink ref="J9:K9" location="'4b. Matriz - Contexto'!A1" display="4b. Matriz - Contexto" xr:uid="{00000000-0004-0000-0000-000008000000}"/>
  </hyperlinks>
  <printOptions horizontalCentered="1" verticalCentered="1"/>
  <pageMargins left="0.70866141732283472" right="0.70866141732283472" top="0.62992125984251968" bottom="0.74803149606299213" header="0.31496062992125984" footer="0.31496062992125984"/>
  <pageSetup scale="73" orientation="landscape" r:id="rId1"/>
  <headerFooter alignWithMargins="0">
    <oddFooter>&amp;R&amp;"Arial,Normal"&amp;12Página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I191"/>
  <sheetViews>
    <sheetView showGridLines="0" showZeros="0" tabSelected="1" showOutlineSymbols="0" view="pageBreakPreview" zoomScaleNormal="90" zoomScaleSheetLayoutView="100" zoomScalePageLayoutView="70" workbookViewId="0">
      <selection activeCell="B19" sqref="B19:G19"/>
    </sheetView>
  </sheetViews>
  <sheetFormatPr baseColWidth="10" defaultColWidth="11.3984375" defaultRowHeight="12.75" x14ac:dyDescent="0.35"/>
  <cols>
    <col min="1" max="1" width="15.59765625" style="21" customWidth="1"/>
    <col min="2" max="2" width="10.73046875" style="20" customWidth="1"/>
    <col min="3" max="3" width="12.73046875" style="20" customWidth="1"/>
    <col min="4" max="7" width="11.86328125" style="20" customWidth="1"/>
    <col min="8" max="12" width="13.73046875" style="20" customWidth="1"/>
    <col min="13" max="13" width="11.86328125" style="20" customWidth="1"/>
    <col min="14" max="14" width="11.3984375" style="21"/>
    <col min="15" max="16384" width="11.3984375" style="20"/>
  </cols>
  <sheetData>
    <row r="1" spans="1:72" ht="30" customHeight="1" thickBot="1" x14ac:dyDescent="0.4">
      <c r="B1" s="358"/>
      <c r="C1" s="358"/>
      <c r="D1" s="384" t="s">
        <v>298</v>
      </c>
      <c r="E1" s="384"/>
      <c r="F1" s="384"/>
      <c r="G1" s="384"/>
      <c r="H1" s="384"/>
      <c r="I1" s="384"/>
      <c r="J1" s="384"/>
      <c r="K1" s="384"/>
      <c r="L1" s="385" t="s">
        <v>181</v>
      </c>
      <c r="M1" s="385"/>
    </row>
    <row r="2" spans="1:72" ht="30" customHeight="1" thickBot="1" x14ac:dyDescent="0.4">
      <c r="B2" s="358"/>
      <c r="C2" s="358"/>
      <c r="D2" s="386" t="s">
        <v>182</v>
      </c>
      <c r="E2" s="386"/>
      <c r="F2" s="386"/>
      <c r="G2" s="386"/>
      <c r="H2" s="386"/>
      <c r="I2" s="386"/>
      <c r="J2" s="386"/>
      <c r="K2" s="386"/>
      <c r="L2" s="387" t="s">
        <v>184</v>
      </c>
      <c r="M2" s="387"/>
    </row>
    <row r="3" spans="1:72" ht="30" customHeight="1" thickBot="1" x14ac:dyDescent="0.4">
      <c r="B3" s="358"/>
      <c r="C3" s="358"/>
      <c r="D3" s="388" t="s">
        <v>138</v>
      </c>
      <c r="E3" s="388"/>
      <c r="F3" s="388"/>
      <c r="G3" s="388"/>
      <c r="H3" s="388"/>
      <c r="I3" s="388"/>
      <c r="J3" s="388"/>
      <c r="K3" s="388"/>
      <c r="L3" s="389">
        <v>43854</v>
      </c>
      <c r="M3" s="389"/>
    </row>
    <row r="4" spans="1:72" ht="13.5" x14ac:dyDescent="0.35">
      <c r="B4" s="123"/>
      <c r="C4" s="123"/>
      <c r="D4" s="124"/>
      <c r="E4" s="124"/>
      <c r="F4" s="124"/>
      <c r="G4" s="124"/>
      <c r="H4" s="124"/>
      <c r="I4" s="124"/>
      <c r="J4" s="124"/>
      <c r="K4" s="124"/>
      <c r="L4" s="125"/>
      <c r="M4" s="125"/>
    </row>
    <row r="5" spans="1:72" ht="35.1" customHeight="1" x14ac:dyDescent="0.35">
      <c r="A5" s="16"/>
      <c r="B5" s="366" t="s">
        <v>133</v>
      </c>
      <c r="C5" s="366"/>
      <c r="D5" s="366"/>
      <c r="E5" s="366"/>
      <c r="F5" s="366"/>
      <c r="G5" s="366"/>
      <c r="H5" s="366"/>
      <c r="I5" s="366"/>
      <c r="J5" s="366"/>
      <c r="K5" s="366"/>
      <c r="L5" s="366"/>
      <c r="M5" s="366"/>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9"/>
      <c r="BT5" s="19"/>
    </row>
    <row r="6" spans="1:72" ht="28.5" customHeight="1" x14ac:dyDescent="0.35">
      <c r="A6" s="16"/>
      <c r="B6" s="367" t="s">
        <v>179</v>
      </c>
      <c r="C6" s="368"/>
      <c r="D6" s="368"/>
      <c r="E6" s="368"/>
      <c r="F6" s="368"/>
      <c r="G6" s="368"/>
      <c r="H6" s="368"/>
      <c r="I6" s="368"/>
      <c r="J6" s="368"/>
      <c r="K6" s="368"/>
      <c r="L6" s="368"/>
      <c r="M6" s="36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9"/>
      <c r="BT6" s="19"/>
    </row>
    <row r="7" spans="1:72" ht="28.5" customHeight="1" x14ac:dyDescent="0.35">
      <c r="A7" s="16"/>
      <c r="B7" s="368"/>
      <c r="C7" s="368"/>
      <c r="D7" s="368"/>
      <c r="E7" s="368"/>
      <c r="F7" s="368"/>
      <c r="G7" s="368"/>
      <c r="H7" s="368"/>
      <c r="I7" s="368"/>
      <c r="J7" s="368"/>
      <c r="K7" s="368"/>
      <c r="L7" s="368"/>
      <c r="M7" s="36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9"/>
      <c r="BT7" s="19"/>
    </row>
    <row r="8" spans="1:72" ht="28.5" customHeight="1" x14ac:dyDescent="0.35">
      <c r="A8" s="16"/>
      <c r="B8" s="368"/>
      <c r="C8" s="368"/>
      <c r="D8" s="368"/>
      <c r="E8" s="368"/>
      <c r="F8" s="368"/>
      <c r="G8" s="368"/>
      <c r="H8" s="368"/>
      <c r="I8" s="368"/>
      <c r="J8" s="368"/>
      <c r="K8" s="368"/>
      <c r="L8" s="368"/>
      <c r="M8" s="36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9"/>
      <c r="BT8" s="19"/>
    </row>
    <row r="9" spans="1:72" ht="28.5" customHeight="1" x14ac:dyDescent="0.35">
      <c r="A9" s="16"/>
      <c r="B9" s="368"/>
      <c r="C9" s="368"/>
      <c r="D9" s="368"/>
      <c r="E9" s="368"/>
      <c r="F9" s="368"/>
      <c r="G9" s="368"/>
      <c r="H9" s="368"/>
      <c r="I9" s="368"/>
      <c r="J9" s="368"/>
      <c r="K9" s="368"/>
      <c r="L9" s="368"/>
      <c r="M9" s="36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9"/>
      <c r="BT9" s="19"/>
    </row>
    <row r="10" spans="1:72" ht="30" customHeight="1" x14ac:dyDescent="0.35">
      <c r="A10" s="16"/>
      <c r="B10" s="381" t="s">
        <v>143</v>
      </c>
      <c r="C10" s="382"/>
      <c r="D10" s="382"/>
      <c r="E10" s="382"/>
      <c r="F10" s="382"/>
      <c r="G10" s="382"/>
      <c r="H10" s="382"/>
      <c r="I10" s="382"/>
      <c r="J10" s="382"/>
      <c r="K10" s="382"/>
      <c r="L10" s="382"/>
      <c r="M10" s="382"/>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9"/>
      <c r="BT10" s="19"/>
    </row>
    <row r="11" spans="1:72" ht="37.9" customHeight="1" thickBot="1" x14ac:dyDescent="0.45">
      <c r="A11" s="16"/>
      <c r="B11" s="198"/>
      <c r="C11" s="199"/>
      <c r="D11" s="199"/>
      <c r="E11" s="199"/>
      <c r="F11" s="199"/>
      <c r="G11" s="199"/>
      <c r="H11" s="199"/>
      <c r="I11" s="199"/>
      <c r="J11" s="199"/>
      <c r="K11" s="199"/>
      <c r="L11" s="199"/>
      <c r="M11" s="200"/>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9"/>
      <c r="BT11" s="19"/>
    </row>
    <row r="12" spans="1:72" ht="45" customHeight="1" x14ac:dyDescent="0.4">
      <c r="A12" s="16"/>
      <c r="B12" s="201"/>
      <c r="C12" s="383" t="s">
        <v>132</v>
      </c>
      <c r="D12" s="383"/>
      <c r="E12" s="383"/>
      <c r="F12" s="383"/>
      <c r="G12" s="383"/>
      <c r="H12" s="370" t="s">
        <v>131</v>
      </c>
      <c r="I12" s="371"/>
      <c r="J12" s="371"/>
      <c r="K12" s="371"/>
      <c r="L12" s="372"/>
      <c r="M12" s="202"/>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9"/>
      <c r="BT12" s="19"/>
    </row>
    <row r="13" spans="1:72" ht="45" customHeight="1" x14ac:dyDescent="0.4">
      <c r="A13" s="16"/>
      <c r="B13" s="201"/>
      <c r="C13" s="369" t="s">
        <v>130</v>
      </c>
      <c r="D13" s="369"/>
      <c r="E13" s="369"/>
      <c r="F13" s="369"/>
      <c r="G13" s="369"/>
      <c r="H13" s="373"/>
      <c r="I13" s="374"/>
      <c r="J13" s="374"/>
      <c r="K13" s="374"/>
      <c r="L13" s="375"/>
      <c r="M13" s="202"/>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9"/>
      <c r="BT13" s="19"/>
    </row>
    <row r="14" spans="1:72" ht="45" customHeight="1" thickBot="1" x14ac:dyDescent="0.45">
      <c r="A14" s="16"/>
      <c r="B14" s="201"/>
      <c r="C14" s="369"/>
      <c r="D14" s="369"/>
      <c r="E14" s="369"/>
      <c r="F14" s="369"/>
      <c r="G14" s="369"/>
      <c r="H14" s="376"/>
      <c r="I14" s="377"/>
      <c r="J14" s="377"/>
      <c r="K14" s="377"/>
      <c r="L14" s="378"/>
      <c r="M14" s="202"/>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9"/>
      <c r="BT14" s="19"/>
    </row>
    <row r="15" spans="1:72" ht="45" customHeight="1" x14ac:dyDescent="0.4">
      <c r="A15" s="16"/>
      <c r="B15" s="201"/>
      <c r="C15" s="383" t="s">
        <v>129</v>
      </c>
      <c r="D15" s="383"/>
      <c r="E15" s="383"/>
      <c r="F15" s="383"/>
      <c r="G15" s="383"/>
      <c r="H15" s="370" t="s">
        <v>128</v>
      </c>
      <c r="I15" s="371"/>
      <c r="J15" s="371"/>
      <c r="K15" s="371"/>
      <c r="L15" s="372"/>
      <c r="M15" s="202"/>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9"/>
      <c r="BT15" s="19"/>
    </row>
    <row r="16" spans="1:72" ht="45" customHeight="1" x14ac:dyDescent="0.4">
      <c r="A16" s="16"/>
      <c r="B16" s="201"/>
      <c r="C16" s="379" t="s">
        <v>127</v>
      </c>
      <c r="D16" s="379"/>
      <c r="E16" s="379"/>
      <c r="F16" s="379"/>
      <c r="G16" s="380"/>
      <c r="H16" s="373" t="s">
        <v>126</v>
      </c>
      <c r="I16" s="374"/>
      <c r="J16" s="374"/>
      <c r="K16" s="374"/>
      <c r="L16" s="375"/>
      <c r="M16" s="202"/>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9"/>
      <c r="BT16" s="19"/>
    </row>
    <row r="17" spans="1:72" ht="45" customHeight="1" x14ac:dyDescent="0.4">
      <c r="A17" s="16"/>
      <c r="B17" s="201"/>
      <c r="C17" s="379"/>
      <c r="D17" s="379"/>
      <c r="E17" s="379"/>
      <c r="F17" s="379"/>
      <c r="G17" s="380"/>
      <c r="H17" s="373" t="s">
        <v>125</v>
      </c>
      <c r="I17" s="374"/>
      <c r="J17" s="374"/>
      <c r="K17" s="374"/>
      <c r="L17" s="375"/>
      <c r="M17" s="202"/>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9"/>
      <c r="BT17" s="19"/>
    </row>
    <row r="18" spans="1:72" ht="45" customHeight="1" thickBot="1" x14ac:dyDescent="0.45">
      <c r="A18" s="16"/>
      <c r="B18" s="201"/>
      <c r="C18" s="379"/>
      <c r="D18" s="379"/>
      <c r="E18" s="379"/>
      <c r="F18" s="379"/>
      <c r="G18" s="380"/>
      <c r="H18" s="376" t="s">
        <v>124</v>
      </c>
      <c r="I18" s="377"/>
      <c r="J18" s="377"/>
      <c r="K18" s="377"/>
      <c r="L18" s="378"/>
      <c r="M18" s="202"/>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9"/>
      <c r="BT18" s="19"/>
    </row>
    <row r="19" spans="1:72" ht="45" customHeight="1" x14ac:dyDescent="0.4">
      <c r="A19" s="16"/>
      <c r="B19" s="201"/>
      <c r="C19" s="383" t="s">
        <v>123</v>
      </c>
      <c r="D19" s="383"/>
      <c r="E19" s="383"/>
      <c r="F19" s="383"/>
      <c r="G19" s="383"/>
      <c r="H19" s="370" t="s">
        <v>122</v>
      </c>
      <c r="I19" s="371"/>
      <c r="J19" s="371"/>
      <c r="K19" s="371"/>
      <c r="L19" s="372"/>
      <c r="M19" s="202"/>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9"/>
      <c r="BT19" s="19"/>
    </row>
    <row r="20" spans="1:72" ht="45" customHeight="1" thickBot="1" x14ac:dyDescent="0.45">
      <c r="A20" s="16"/>
      <c r="B20" s="201"/>
      <c r="C20" s="379" t="s">
        <v>121</v>
      </c>
      <c r="D20" s="379"/>
      <c r="E20" s="379"/>
      <c r="F20" s="379"/>
      <c r="G20" s="380"/>
      <c r="H20" s="376" t="s">
        <v>120</v>
      </c>
      <c r="I20" s="377"/>
      <c r="J20" s="377"/>
      <c r="K20" s="377"/>
      <c r="L20" s="378"/>
      <c r="M20" s="202"/>
      <c r="N20" s="18"/>
      <c r="O20" s="10" t="s">
        <v>119</v>
      </c>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9"/>
      <c r="BT20" s="19"/>
    </row>
    <row r="21" spans="1:72" ht="30" customHeight="1" x14ac:dyDescent="0.35">
      <c r="A21" s="16"/>
      <c r="B21" s="203"/>
      <c r="C21" s="35"/>
      <c r="D21" s="35"/>
      <c r="E21" s="35"/>
      <c r="F21" s="35"/>
      <c r="G21" s="35"/>
      <c r="H21" s="35"/>
      <c r="I21" s="35"/>
      <c r="J21" s="35"/>
      <c r="K21" s="35"/>
      <c r="L21" s="35"/>
      <c r="M21" s="204"/>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9"/>
      <c r="BT21" s="19"/>
    </row>
    <row r="22" spans="1:72" ht="30" customHeight="1" x14ac:dyDescent="0.35">
      <c r="A22" s="16"/>
      <c r="B22" s="16"/>
      <c r="C22" s="16"/>
      <c r="D22" s="16"/>
      <c r="E22" s="16"/>
      <c r="F22" s="16"/>
      <c r="G22" s="16"/>
      <c r="H22" s="16"/>
      <c r="I22" s="16"/>
      <c r="J22" s="16"/>
      <c r="K22" s="16"/>
      <c r="L22" s="16"/>
      <c r="M22" s="16"/>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9"/>
      <c r="BT22" s="19"/>
    </row>
    <row r="23" spans="1:72" ht="30" customHeight="1" x14ac:dyDescent="0.35">
      <c r="A23" s="16"/>
      <c r="B23" s="16"/>
      <c r="C23" s="16"/>
      <c r="D23" s="16"/>
      <c r="E23" s="16"/>
      <c r="F23" s="16"/>
      <c r="G23" s="16"/>
      <c r="H23" s="16"/>
      <c r="I23" s="16"/>
      <c r="J23" s="16"/>
      <c r="K23" s="16"/>
      <c r="L23" s="16"/>
      <c r="M23" s="16"/>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9"/>
      <c r="BT23" s="19"/>
    </row>
    <row r="24" spans="1:72" ht="13.5" x14ac:dyDescent="0.35">
      <c r="A24" s="16"/>
      <c r="B24" s="16"/>
      <c r="C24" s="16"/>
      <c r="D24" s="16"/>
      <c r="E24" s="16"/>
      <c r="F24" s="16"/>
      <c r="G24" s="16"/>
      <c r="H24" s="16"/>
      <c r="I24" s="16"/>
      <c r="J24" s="16"/>
      <c r="K24" s="16"/>
      <c r="L24" s="16"/>
      <c r="M24" s="16"/>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9"/>
      <c r="BT24" s="19"/>
    </row>
    <row r="25" spans="1:72" ht="13.5" x14ac:dyDescent="0.35">
      <c r="A25" s="16"/>
      <c r="B25" s="16"/>
      <c r="C25" s="16"/>
      <c r="D25" s="16"/>
      <c r="E25" s="16"/>
      <c r="F25" s="16"/>
      <c r="G25" s="16"/>
      <c r="H25" s="16"/>
      <c r="I25" s="16"/>
      <c r="J25" s="16"/>
      <c r="K25" s="16"/>
      <c r="L25" s="16"/>
      <c r="M25" s="16"/>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9"/>
      <c r="BT25" s="19"/>
    </row>
    <row r="26" spans="1:72" ht="13.5" x14ac:dyDescent="0.35">
      <c r="A26" s="16"/>
      <c r="B26" s="16"/>
      <c r="C26" s="16"/>
      <c r="D26" s="16"/>
      <c r="E26" s="16"/>
      <c r="F26" s="16"/>
      <c r="G26" s="16"/>
      <c r="H26" s="16"/>
      <c r="I26" s="16"/>
      <c r="J26" s="16"/>
      <c r="K26" s="16"/>
      <c r="L26" s="16"/>
      <c r="M26" s="16"/>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9"/>
      <c r="BT26" s="19"/>
    </row>
    <row r="27" spans="1:72" ht="13.5" x14ac:dyDescent="0.35">
      <c r="A27" s="16"/>
      <c r="B27" s="16"/>
      <c r="C27" s="16"/>
      <c r="D27" s="16"/>
      <c r="E27" s="16"/>
      <c r="F27" s="16"/>
      <c r="G27" s="16"/>
      <c r="H27" s="16"/>
      <c r="I27" s="16"/>
      <c r="J27" s="16"/>
      <c r="K27" s="16"/>
      <c r="L27" s="16"/>
      <c r="M27" s="16"/>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9"/>
      <c r="BT27" s="19"/>
    </row>
    <row r="28" spans="1:72" ht="13.5" x14ac:dyDescent="0.35">
      <c r="A28" s="16"/>
      <c r="B28" s="16"/>
      <c r="C28" s="16"/>
      <c r="D28" s="16"/>
      <c r="E28" s="16"/>
      <c r="F28" s="16"/>
      <c r="G28" s="16"/>
      <c r="H28" s="16"/>
      <c r="I28" s="16"/>
      <c r="J28" s="16"/>
      <c r="K28" s="16"/>
      <c r="L28" s="16"/>
      <c r="M28" s="16"/>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9"/>
      <c r="BT28" s="19"/>
    </row>
    <row r="29" spans="1:72" ht="13.5" x14ac:dyDescent="0.35">
      <c r="A29" s="16"/>
      <c r="B29" s="16"/>
      <c r="C29" s="16"/>
      <c r="D29" s="16"/>
      <c r="E29" s="16"/>
      <c r="F29" s="16"/>
      <c r="G29" s="16"/>
      <c r="H29" s="16"/>
      <c r="I29" s="16"/>
      <c r="J29" s="16"/>
      <c r="K29" s="16"/>
      <c r="L29" s="16"/>
      <c r="M29" s="16"/>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9"/>
      <c r="BT29" s="19"/>
    </row>
    <row r="30" spans="1:72" ht="13.5" x14ac:dyDescent="0.35">
      <c r="A30" s="16"/>
      <c r="B30" s="16"/>
      <c r="C30" s="16"/>
      <c r="D30" s="16"/>
      <c r="E30" s="16"/>
      <c r="F30" s="16"/>
      <c r="G30" s="16"/>
      <c r="H30" s="16"/>
      <c r="I30" s="16"/>
      <c r="J30" s="16"/>
      <c r="K30" s="16"/>
      <c r="L30" s="16"/>
      <c r="M30" s="16"/>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9"/>
      <c r="BT30" s="19"/>
    </row>
    <row r="31" spans="1:72" ht="13.5" x14ac:dyDescent="0.35">
      <c r="A31" s="16"/>
      <c r="B31" s="16"/>
      <c r="C31" s="16"/>
      <c r="D31" s="16"/>
      <c r="E31" s="16"/>
      <c r="F31" s="16"/>
      <c r="G31" s="16"/>
      <c r="H31" s="16"/>
      <c r="I31" s="16"/>
      <c r="J31" s="16"/>
      <c r="K31" s="16"/>
      <c r="L31" s="16"/>
      <c r="M31" s="16"/>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9"/>
      <c r="BT31" s="19"/>
    </row>
    <row r="32" spans="1:72" ht="13.5" x14ac:dyDescent="0.35">
      <c r="A32" s="16"/>
      <c r="B32" s="16"/>
      <c r="C32" s="16"/>
      <c r="D32" s="16"/>
      <c r="E32" s="16"/>
      <c r="F32" s="16"/>
      <c r="G32" s="16"/>
      <c r="H32" s="16"/>
      <c r="I32" s="16"/>
      <c r="J32" s="16"/>
      <c r="K32" s="16"/>
      <c r="L32" s="16"/>
      <c r="M32" s="16"/>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9"/>
      <c r="BT32" s="19"/>
    </row>
    <row r="33" spans="1:72" ht="13.5" x14ac:dyDescent="0.35">
      <c r="A33" s="16"/>
      <c r="B33" s="16"/>
      <c r="C33" s="16"/>
      <c r="D33" s="16"/>
      <c r="E33" s="16"/>
      <c r="F33" s="16"/>
      <c r="G33" s="16"/>
      <c r="H33" s="16"/>
      <c r="I33" s="16"/>
      <c r="J33" s="16"/>
      <c r="K33" s="16"/>
      <c r="L33" s="16"/>
      <c r="M33" s="16"/>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9"/>
      <c r="BT33" s="19"/>
    </row>
    <row r="34" spans="1:72" ht="13.5" x14ac:dyDescent="0.35">
      <c r="A34" s="16"/>
      <c r="B34" s="16"/>
      <c r="C34" s="16"/>
      <c r="D34" s="16"/>
      <c r="E34" s="16"/>
      <c r="F34" s="16"/>
      <c r="G34" s="16"/>
      <c r="H34" s="16"/>
      <c r="I34" s="16"/>
      <c r="J34" s="16"/>
      <c r="K34" s="16"/>
      <c r="L34" s="16"/>
      <c r="M34" s="16"/>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9"/>
      <c r="BT34" s="19"/>
    </row>
    <row r="35" spans="1:72" ht="13.5" x14ac:dyDescent="0.35">
      <c r="A35" s="16"/>
      <c r="B35" s="16"/>
      <c r="C35" s="16"/>
      <c r="D35" s="16"/>
      <c r="E35" s="16"/>
      <c r="F35" s="16"/>
      <c r="G35" s="16"/>
      <c r="H35" s="16"/>
      <c r="I35" s="16"/>
      <c r="J35" s="16"/>
      <c r="K35" s="16"/>
      <c r="L35" s="16"/>
      <c r="M35" s="16"/>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9"/>
      <c r="BT35" s="19"/>
    </row>
    <row r="36" spans="1:72" ht="13.5" x14ac:dyDescent="0.35">
      <c r="A36" s="16"/>
      <c r="B36" s="16"/>
      <c r="C36" s="16"/>
      <c r="D36" s="16"/>
      <c r="E36" s="16"/>
      <c r="F36" s="16"/>
      <c r="G36" s="16"/>
      <c r="H36" s="16"/>
      <c r="I36" s="16"/>
      <c r="J36" s="16"/>
      <c r="K36" s="16"/>
      <c r="L36" s="16"/>
      <c r="M36" s="16"/>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9"/>
      <c r="BT36" s="19"/>
    </row>
    <row r="37" spans="1:72" ht="13.5" x14ac:dyDescent="0.35">
      <c r="A37" s="16"/>
      <c r="B37" s="16"/>
      <c r="C37" s="16"/>
      <c r="D37" s="16"/>
      <c r="E37" s="16"/>
      <c r="F37" s="16"/>
      <c r="G37" s="16"/>
      <c r="H37" s="16"/>
      <c r="I37" s="16"/>
      <c r="J37" s="16"/>
      <c r="K37" s="16"/>
      <c r="L37" s="16"/>
      <c r="M37" s="16"/>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9"/>
      <c r="BT37" s="19"/>
    </row>
    <row r="38" spans="1:72" ht="13.5" x14ac:dyDescent="0.35">
      <c r="A38" s="16"/>
      <c r="B38" s="16"/>
      <c r="C38" s="18"/>
      <c r="D38" s="16"/>
      <c r="E38" s="16"/>
      <c r="F38" s="16"/>
      <c r="G38" s="16"/>
      <c r="H38" s="16"/>
      <c r="I38" s="16"/>
      <c r="J38" s="16"/>
      <c r="K38" s="16"/>
      <c r="L38" s="16"/>
      <c r="M38" s="16"/>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9"/>
      <c r="BT38" s="19"/>
    </row>
    <row r="39" spans="1:72" ht="13.5" x14ac:dyDescent="0.3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9"/>
      <c r="BT39" s="19"/>
    </row>
    <row r="40" spans="1:72" ht="13.5" x14ac:dyDescent="0.3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9"/>
      <c r="BT40" s="19"/>
    </row>
    <row r="41" spans="1:72" ht="13.5" x14ac:dyDescent="0.3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9"/>
      <c r="BT41" s="19"/>
    </row>
    <row r="42" spans="1:72" ht="13.5" x14ac:dyDescent="0.3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9"/>
      <c r="BT42" s="19"/>
    </row>
    <row r="43" spans="1:72" ht="13.5" x14ac:dyDescent="0.3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9"/>
      <c r="BT43" s="19"/>
    </row>
    <row r="44" spans="1:72" ht="13.5" x14ac:dyDescent="0.3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9"/>
      <c r="BT44" s="19"/>
    </row>
    <row r="45" spans="1:72" ht="13.5" x14ac:dyDescent="0.3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9"/>
      <c r="BT45" s="19"/>
    </row>
    <row r="46" spans="1:72" ht="13.5" x14ac:dyDescent="0.3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9"/>
      <c r="BT46" s="19"/>
    </row>
    <row r="47" spans="1:72" ht="13.5"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9"/>
      <c r="BT47" s="19"/>
    </row>
    <row r="48" spans="1:72" ht="13.5"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9"/>
      <c r="BT48" s="19"/>
    </row>
    <row r="49" spans="1:87" ht="13.5"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9"/>
      <c r="BT49" s="19"/>
    </row>
    <row r="50" spans="1:87" ht="13.5"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9"/>
      <c r="BT50" s="19"/>
    </row>
    <row r="51" spans="1:87" ht="13.5"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9"/>
      <c r="BT51" s="19"/>
    </row>
    <row r="52" spans="1:87" ht="13.5"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9"/>
      <c r="BT52" s="19"/>
    </row>
    <row r="53" spans="1:87" ht="13.5"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9"/>
      <c r="BT53" s="19"/>
    </row>
    <row r="54" spans="1:87" ht="13.5"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9"/>
      <c r="BT54" s="19"/>
    </row>
    <row r="55" spans="1:87" ht="13.5"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9"/>
      <c r="BT55" s="19"/>
      <c r="BU55" s="19"/>
      <c r="BV55" s="19"/>
      <c r="BW55" s="19"/>
      <c r="BX55" s="19"/>
      <c r="BY55" s="19"/>
      <c r="BZ55" s="19"/>
      <c r="CA55" s="19"/>
      <c r="CB55" s="19"/>
      <c r="CC55" s="19"/>
      <c r="CD55" s="19"/>
      <c r="CE55" s="19"/>
      <c r="CF55" s="19"/>
      <c r="CG55" s="19"/>
      <c r="CH55" s="19"/>
      <c r="CI55" s="19"/>
    </row>
    <row r="56" spans="1:87" ht="13.5"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9"/>
      <c r="BT56" s="19"/>
      <c r="BU56" s="19"/>
      <c r="BV56" s="19"/>
      <c r="BW56" s="19"/>
      <c r="BX56" s="19"/>
      <c r="BY56" s="19"/>
      <c r="BZ56" s="19"/>
      <c r="CA56" s="19"/>
      <c r="CB56" s="19"/>
      <c r="CC56" s="19"/>
      <c r="CD56" s="19"/>
      <c r="CE56" s="19"/>
      <c r="CF56" s="19"/>
      <c r="CG56" s="19"/>
      <c r="CH56" s="19"/>
      <c r="CI56" s="19"/>
    </row>
    <row r="57" spans="1:87" ht="13.5"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9"/>
      <c r="BT57" s="19"/>
      <c r="BU57" s="19"/>
      <c r="BV57" s="19"/>
      <c r="BW57" s="19"/>
      <c r="BX57" s="19"/>
      <c r="BY57" s="19"/>
      <c r="BZ57" s="19"/>
      <c r="CA57" s="19"/>
      <c r="CB57" s="19"/>
      <c r="CC57" s="19"/>
      <c r="CD57" s="19"/>
      <c r="CE57" s="19"/>
      <c r="CF57" s="19"/>
      <c r="CG57" s="19"/>
      <c r="CH57" s="19"/>
      <c r="CI57" s="19"/>
    </row>
    <row r="58" spans="1:87" ht="13.5"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9"/>
      <c r="BT58" s="19"/>
      <c r="BU58" s="19"/>
      <c r="BV58" s="19"/>
      <c r="BW58" s="19"/>
      <c r="BX58" s="19"/>
      <c r="BY58" s="19"/>
      <c r="BZ58" s="19"/>
      <c r="CA58" s="19"/>
      <c r="CB58" s="19"/>
      <c r="CC58" s="19"/>
      <c r="CD58" s="19"/>
      <c r="CE58" s="19"/>
      <c r="CF58" s="19"/>
      <c r="CG58" s="19"/>
      <c r="CH58" s="19"/>
      <c r="CI58" s="19"/>
    </row>
    <row r="59" spans="1:87" ht="13.5"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9"/>
      <c r="BT59" s="19"/>
      <c r="BU59" s="19"/>
      <c r="BV59" s="19"/>
      <c r="BW59" s="19"/>
      <c r="BX59" s="19"/>
      <c r="BY59" s="19"/>
      <c r="BZ59" s="19"/>
      <c r="CA59" s="19"/>
      <c r="CB59" s="19"/>
      <c r="CC59" s="19"/>
      <c r="CD59" s="19"/>
      <c r="CE59" s="19"/>
      <c r="CF59" s="19"/>
      <c r="CG59" s="19"/>
      <c r="CH59" s="19"/>
      <c r="CI59" s="19"/>
    </row>
    <row r="60" spans="1:87" ht="13.5"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9"/>
      <c r="BT60" s="19"/>
      <c r="BU60" s="19"/>
      <c r="BV60" s="19"/>
      <c r="BW60" s="19"/>
      <c r="BX60" s="19"/>
      <c r="BY60" s="19"/>
      <c r="BZ60" s="19"/>
      <c r="CA60" s="19"/>
      <c r="CB60" s="19"/>
      <c r="CC60" s="19"/>
      <c r="CD60" s="19"/>
      <c r="CE60" s="19"/>
      <c r="CF60" s="19"/>
      <c r="CG60" s="19"/>
      <c r="CH60" s="19"/>
      <c r="CI60" s="19"/>
    </row>
    <row r="61" spans="1:87" ht="13.5"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9"/>
      <c r="BT61" s="19"/>
      <c r="BU61" s="19"/>
      <c r="BV61" s="19"/>
      <c r="BW61" s="19"/>
      <c r="BX61" s="19"/>
      <c r="BY61" s="19"/>
      <c r="BZ61" s="19"/>
      <c r="CA61" s="19"/>
      <c r="CB61" s="19"/>
      <c r="CC61" s="19"/>
      <c r="CD61" s="19"/>
      <c r="CE61" s="19"/>
      <c r="CF61" s="19"/>
      <c r="CG61" s="19"/>
      <c r="CH61" s="19"/>
      <c r="CI61" s="19"/>
    </row>
    <row r="62" spans="1:87" ht="13.5"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9"/>
      <c r="BT62" s="19"/>
      <c r="BU62" s="19"/>
      <c r="BV62" s="19"/>
      <c r="BW62" s="19"/>
      <c r="BX62" s="19"/>
      <c r="BY62" s="19"/>
      <c r="BZ62" s="19"/>
      <c r="CA62" s="19"/>
      <c r="CB62" s="19"/>
      <c r="CC62" s="19"/>
      <c r="CD62" s="19"/>
      <c r="CE62" s="19"/>
      <c r="CF62" s="19"/>
      <c r="CG62" s="19"/>
      <c r="CH62" s="19"/>
      <c r="CI62" s="19"/>
    </row>
    <row r="63" spans="1:87" ht="13.5"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9"/>
      <c r="BT63" s="19"/>
      <c r="BU63" s="19"/>
      <c r="BV63" s="19"/>
      <c r="BW63" s="19"/>
      <c r="BX63" s="19"/>
      <c r="BY63" s="19"/>
      <c r="BZ63" s="19"/>
      <c r="CA63" s="19"/>
      <c r="CB63" s="19"/>
      <c r="CC63" s="19"/>
      <c r="CD63" s="19"/>
      <c r="CE63" s="19"/>
      <c r="CF63" s="19"/>
      <c r="CG63" s="19"/>
      <c r="CH63" s="19"/>
      <c r="CI63" s="19"/>
    </row>
    <row r="64" spans="1:87" ht="13.5"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9"/>
      <c r="BT64" s="19"/>
      <c r="BU64" s="19"/>
      <c r="BV64" s="19"/>
      <c r="BW64" s="19"/>
      <c r="BX64" s="19"/>
      <c r="BY64" s="19"/>
      <c r="BZ64" s="19"/>
      <c r="CA64" s="19"/>
      <c r="CB64" s="19"/>
      <c r="CC64" s="19"/>
      <c r="CD64" s="19"/>
      <c r="CE64" s="19"/>
      <c r="CF64" s="19"/>
      <c r="CG64" s="19"/>
      <c r="CH64" s="19"/>
      <c r="CI64" s="19"/>
    </row>
    <row r="65" spans="1:87" ht="13.5"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9"/>
      <c r="BT65" s="19"/>
      <c r="BU65" s="19"/>
      <c r="BV65" s="19"/>
      <c r="BW65" s="19"/>
      <c r="BX65" s="19"/>
      <c r="BY65" s="19"/>
      <c r="BZ65" s="19"/>
      <c r="CA65" s="19"/>
      <c r="CB65" s="19"/>
      <c r="CC65" s="19"/>
      <c r="CD65" s="19"/>
      <c r="CE65" s="19"/>
      <c r="CF65" s="19"/>
      <c r="CG65" s="19"/>
      <c r="CH65" s="19"/>
      <c r="CI65" s="19"/>
    </row>
    <row r="66" spans="1:87" ht="13.5"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9"/>
      <c r="BT66" s="19"/>
      <c r="BU66" s="19"/>
      <c r="BV66" s="19"/>
      <c r="BW66" s="19"/>
      <c r="BX66" s="19"/>
      <c r="BY66" s="19"/>
      <c r="BZ66" s="19"/>
      <c r="CA66" s="19"/>
      <c r="CB66" s="19"/>
      <c r="CC66" s="19"/>
      <c r="CD66" s="19"/>
      <c r="CE66" s="19"/>
      <c r="CF66" s="19"/>
      <c r="CG66" s="19"/>
      <c r="CH66" s="19"/>
      <c r="CI66" s="19"/>
    </row>
    <row r="67" spans="1:87" ht="13.5"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9"/>
      <c r="BT67" s="19"/>
      <c r="BU67" s="19"/>
      <c r="BV67" s="19"/>
      <c r="BW67" s="19"/>
      <c r="BX67" s="19"/>
      <c r="BY67" s="19"/>
      <c r="BZ67" s="19"/>
      <c r="CA67" s="19"/>
      <c r="CB67" s="19"/>
      <c r="CC67" s="19"/>
      <c r="CD67" s="19"/>
      <c r="CE67" s="19"/>
      <c r="CF67" s="19"/>
      <c r="CG67" s="19"/>
      <c r="CH67" s="19"/>
      <c r="CI67" s="19"/>
    </row>
    <row r="68" spans="1:87" ht="13.5"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9"/>
      <c r="BT68" s="19"/>
      <c r="BU68" s="19"/>
      <c r="BV68" s="19"/>
      <c r="BW68" s="19"/>
      <c r="BX68" s="19"/>
      <c r="BY68" s="19"/>
      <c r="BZ68" s="19"/>
      <c r="CA68" s="19"/>
      <c r="CB68" s="19"/>
      <c r="CC68" s="19"/>
      <c r="CD68" s="19"/>
      <c r="CE68" s="19"/>
      <c r="CF68" s="19"/>
      <c r="CG68" s="19"/>
      <c r="CH68" s="19"/>
      <c r="CI68" s="19"/>
    </row>
    <row r="69" spans="1:87" ht="13.5"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9"/>
      <c r="BT69" s="19"/>
      <c r="BU69" s="19"/>
      <c r="BV69" s="19"/>
      <c r="BW69" s="19"/>
      <c r="BX69" s="19"/>
      <c r="BY69" s="19"/>
      <c r="BZ69" s="19"/>
      <c r="CA69" s="19"/>
      <c r="CB69" s="19"/>
      <c r="CC69" s="19"/>
      <c r="CD69" s="19"/>
      <c r="CE69" s="19"/>
      <c r="CF69" s="19"/>
      <c r="CG69" s="19"/>
      <c r="CH69" s="19"/>
      <c r="CI69" s="19"/>
    </row>
    <row r="70" spans="1:87" ht="13.5"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9"/>
      <c r="BT70" s="19"/>
      <c r="BU70" s="19"/>
      <c r="BV70" s="19"/>
      <c r="BW70" s="19"/>
      <c r="BX70" s="19"/>
      <c r="BY70" s="19"/>
      <c r="BZ70" s="19"/>
      <c r="CA70" s="19"/>
      <c r="CB70" s="19"/>
      <c r="CC70" s="19"/>
      <c r="CD70" s="19"/>
      <c r="CE70" s="19"/>
      <c r="CF70" s="19"/>
      <c r="CG70" s="19"/>
      <c r="CH70" s="19"/>
      <c r="CI70" s="19"/>
    </row>
    <row r="71" spans="1:87" ht="13.5"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9"/>
      <c r="BT71" s="19"/>
      <c r="BU71" s="19"/>
      <c r="BV71" s="19"/>
      <c r="BW71" s="19"/>
      <c r="BX71" s="19"/>
      <c r="BY71" s="19"/>
      <c r="BZ71" s="19"/>
      <c r="CA71" s="19"/>
      <c r="CB71" s="19"/>
      <c r="CC71" s="19"/>
      <c r="CD71" s="19"/>
      <c r="CE71" s="19"/>
      <c r="CF71" s="19"/>
      <c r="CG71" s="19"/>
      <c r="CH71" s="19"/>
      <c r="CI71" s="19"/>
    </row>
    <row r="72" spans="1:87" ht="13.5"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9"/>
      <c r="BT72" s="19"/>
      <c r="BU72" s="19"/>
      <c r="BV72" s="19"/>
      <c r="BW72" s="19"/>
      <c r="BX72" s="19"/>
      <c r="BY72" s="19"/>
      <c r="BZ72" s="19"/>
      <c r="CA72" s="19"/>
      <c r="CB72" s="19"/>
      <c r="CC72" s="19"/>
      <c r="CD72" s="19"/>
      <c r="CE72" s="19"/>
      <c r="CF72" s="19"/>
      <c r="CG72" s="19"/>
      <c r="CH72" s="19"/>
      <c r="CI72" s="19"/>
    </row>
    <row r="73" spans="1:87" ht="13.5"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9"/>
      <c r="BT73" s="19"/>
      <c r="BU73" s="19"/>
      <c r="BV73" s="19"/>
      <c r="BW73" s="19"/>
      <c r="BX73" s="19"/>
      <c r="BY73" s="19"/>
      <c r="BZ73" s="19"/>
      <c r="CA73" s="19"/>
      <c r="CB73" s="19"/>
      <c r="CC73" s="19"/>
      <c r="CD73" s="19"/>
      <c r="CE73" s="19"/>
      <c r="CF73" s="19"/>
      <c r="CG73" s="19"/>
      <c r="CH73" s="19"/>
      <c r="CI73" s="19"/>
    </row>
    <row r="74" spans="1:87" ht="13.5"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9"/>
      <c r="BT74" s="19"/>
      <c r="BU74" s="19"/>
      <c r="BV74" s="19"/>
      <c r="BW74" s="19"/>
      <c r="BX74" s="19"/>
      <c r="BY74" s="19"/>
      <c r="BZ74" s="19"/>
      <c r="CA74" s="19"/>
      <c r="CB74" s="19"/>
      <c r="CC74" s="19"/>
      <c r="CD74" s="19"/>
      <c r="CE74" s="19"/>
      <c r="CF74" s="19"/>
      <c r="CG74" s="19"/>
      <c r="CH74" s="19"/>
      <c r="CI74" s="19"/>
    </row>
    <row r="75" spans="1:87" ht="13.5"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9"/>
      <c r="BT75" s="19"/>
      <c r="BU75" s="19"/>
      <c r="BV75" s="19"/>
      <c r="BW75" s="19"/>
      <c r="BX75" s="19"/>
      <c r="BY75" s="19"/>
      <c r="BZ75" s="19"/>
      <c r="CA75" s="19"/>
      <c r="CB75" s="19"/>
      <c r="CC75" s="19"/>
      <c r="CD75" s="19"/>
      <c r="CE75" s="19"/>
      <c r="CF75" s="19"/>
      <c r="CG75" s="19"/>
      <c r="CH75" s="19"/>
      <c r="CI75" s="19"/>
    </row>
    <row r="76" spans="1:87" ht="13.5"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9"/>
      <c r="BT76" s="19"/>
      <c r="BU76" s="19"/>
      <c r="BV76" s="19"/>
      <c r="BW76" s="19"/>
      <c r="BX76" s="19"/>
      <c r="BY76" s="19"/>
      <c r="BZ76" s="19"/>
      <c r="CA76" s="19"/>
      <c r="CB76" s="19"/>
      <c r="CC76" s="19"/>
      <c r="CD76" s="19"/>
      <c r="CE76" s="19"/>
      <c r="CF76" s="19"/>
      <c r="CG76" s="19"/>
      <c r="CH76" s="19"/>
      <c r="CI76" s="19"/>
    </row>
    <row r="77" spans="1:87" ht="13.5"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9"/>
      <c r="BT77" s="19"/>
      <c r="BU77" s="19"/>
      <c r="BV77" s="19"/>
      <c r="BW77" s="19"/>
      <c r="BX77" s="19"/>
      <c r="BY77" s="19"/>
      <c r="BZ77" s="19"/>
      <c r="CA77" s="19"/>
      <c r="CB77" s="19"/>
      <c r="CC77" s="19"/>
      <c r="CD77" s="19"/>
      <c r="CE77" s="19"/>
      <c r="CF77" s="19"/>
      <c r="CG77" s="19"/>
      <c r="CH77" s="19"/>
      <c r="CI77" s="19"/>
    </row>
    <row r="78" spans="1:87" ht="13.5"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9"/>
      <c r="BT78" s="19"/>
      <c r="BU78" s="19"/>
      <c r="BV78" s="19"/>
      <c r="BW78" s="19"/>
      <c r="BX78" s="19"/>
      <c r="BY78" s="19"/>
      <c r="BZ78" s="19"/>
      <c r="CA78" s="19"/>
      <c r="CB78" s="19"/>
      <c r="CC78" s="19"/>
      <c r="CD78" s="19"/>
      <c r="CE78" s="19"/>
      <c r="CF78" s="19"/>
      <c r="CG78" s="19"/>
      <c r="CH78" s="19"/>
      <c r="CI78" s="19"/>
    </row>
    <row r="79" spans="1:87" ht="13.5"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9"/>
      <c r="BT79" s="19"/>
      <c r="BU79" s="19"/>
      <c r="BV79" s="19"/>
      <c r="BW79" s="19"/>
      <c r="BX79" s="19"/>
      <c r="BY79" s="19"/>
      <c r="BZ79" s="19"/>
      <c r="CA79" s="19"/>
      <c r="CB79" s="19"/>
      <c r="CC79" s="19"/>
      <c r="CD79" s="19"/>
      <c r="CE79" s="19"/>
      <c r="CF79" s="19"/>
      <c r="CG79" s="19"/>
      <c r="CH79" s="19"/>
      <c r="CI79" s="19"/>
    </row>
    <row r="80" spans="1:87" ht="13.5"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9"/>
      <c r="BT80" s="19"/>
      <c r="BU80" s="19"/>
      <c r="BV80" s="19"/>
      <c r="BW80" s="19"/>
      <c r="BX80" s="19"/>
      <c r="BY80" s="19"/>
      <c r="BZ80" s="19"/>
      <c r="CA80" s="19"/>
      <c r="CB80" s="19"/>
      <c r="CC80" s="19"/>
      <c r="CD80" s="19"/>
      <c r="CE80" s="19"/>
      <c r="CF80" s="19"/>
      <c r="CG80" s="19"/>
      <c r="CH80" s="19"/>
      <c r="CI80" s="19"/>
    </row>
    <row r="81" spans="1:87" ht="13.5"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9"/>
      <c r="BT81" s="19"/>
      <c r="BU81" s="19"/>
      <c r="BV81" s="19"/>
      <c r="BW81" s="19"/>
      <c r="BX81" s="19"/>
      <c r="BY81" s="19"/>
      <c r="BZ81" s="19"/>
      <c r="CA81" s="19"/>
      <c r="CB81" s="19"/>
      <c r="CC81" s="19"/>
      <c r="CD81" s="19"/>
      <c r="CE81" s="19"/>
      <c r="CF81" s="19"/>
      <c r="CG81" s="19"/>
      <c r="CH81" s="19"/>
      <c r="CI81" s="19"/>
    </row>
    <row r="82" spans="1:87" ht="13.5"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9"/>
      <c r="BT82" s="19"/>
      <c r="BU82" s="19"/>
      <c r="BV82" s="19"/>
      <c r="BW82" s="19"/>
      <c r="BX82" s="19"/>
      <c r="BY82" s="19"/>
      <c r="BZ82" s="19"/>
      <c r="CA82" s="19"/>
      <c r="CB82" s="19"/>
      <c r="CC82" s="19"/>
      <c r="CD82" s="19"/>
      <c r="CE82" s="19"/>
      <c r="CF82" s="19"/>
      <c r="CG82" s="19"/>
      <c r="CH82" s="19"/>
      <c r="CI82" s="19"/>
    </row>
    <row r="83" spans="1:87" ht="13.5"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9"/>
      <c r="BT83" s="19"/>
      <c r="BU83" s="19"/>
      <c r="BV83" s="19"/>
      <c r="BW83" s="19"/>
      <c r="BX83" s="19"/>
      <c r="BY83" s="19"/>
      <c r="BZ83" s="19"/>
      <c r="CA83" s="19"/>
      <c r="CB83" s="19"/>
      <c r="CC83" s="19"/>
      <c r="CD83" s="19"/>
      <c r="CE83" s="19"/>
      <c r="CF83" s="19"/>
      <c r="CG83" s="19"/>
      <c r="CH83" s="19"/>
      <c r="CI83" s="19"/>
    </row>
    <row r="84" spans="1:87" ht="13.5"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9"/>
      <c r="BT84" s="19"/>
      <c r="BU84" s="19"/>
      <c r="BV84" s="19"/>
      <c r="BW84" s="19"/>
      <c r="BX84" s="19"/>
      <c r="BY84" s="19"/>
      <c r="BZ84" s="19"/>
      <c r="CA84" s="19"/>
      <c r="CB84" s="19"/>
      <c r="CC84" s="19"/>
      <c r="CD84" s="19"/>
      <c r="CE84" s="19"/>
      <c r="CF84" s="19"/>
      <c r="CG84" s="19"/>
      <c r="CH84" s="19"/>
      <c r="CI84" s="19"/>
    </row>
    <row r="85" spans="1:87" ht="13.5"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9"/>
      <c r="BT85" s="19"/>
      <c r="BU85" s="19"/>
      <c r="BV85" s="19"/>
      <c r="BW85" s="19"/>
      <c r="BX85" s="19"/>
      <c r="BY85" s="19"/>
      <c r="BZ85" s="19"/>
      <c r="CA85" s="19"/>
      <c r="CB85" s="19"/>
      <c r="CC85" s="19"/>
      <c r="CD85" s="19"/>
      <c r="CE85" s="19"/>
      <c r="CF85" s="19"/>
      <c r="CG85" s="19"/>
      <c r="CH85" s="19"/>
      <c r="CI85" s="19"/>
    </row>
    <row r="86" spans="1:87" ht="13.5"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9"/>
      <c r="BT86" s="19"/>
      <c r="BU86" s="19"/>
      <c r="BV86" s="19"/>
      <c r="BW86" s="19"/>
      <c r="BX86" s="19"/>
      <c r="BY86" s="19"/>
      <c r="BZ86" s="19"/>
      <c r="CA86" s="19"/>
      <c r="CB86" s="19"/>
      <c r="CC86" s="19"/>
      <c r="CD86" s="19"/>
      <c r="CE86" s="19"/>
      <c r="CF86" s="19"/>
      <c r="CG86" s="19"/>
      <c r="CH86" s="19"/>
      <c r="CI86" s="19"/>
    </row>
    <row r="87" spans="1:87" ht="13.5"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9"/>
      <c r="BT87" s="19"/>
      <c r="BU87" s="19"/>
      <c r="BV87" s="19"/>
      <c r="BW87" s="19"/>
      <c r="BX87" s="19"/>
      <c r="BY87" s="19"/>
      <c r="BZ87" s="19"/>
      <c r="CA87" s="19"/>
      <c r="CB87" s="19"/>
      <c r="CC87" s="19"/>
      <c r="CD87" s="19"/>
      <c r="CE87" s="19"/>
      <c r="CF87" s="19"/>
      <c r="CG87" s="19"/>
      <c r="CH87" s="19"/>
      <c r="CI87" s="19"/>
    </row>
    <row r="88" spans="1:87" ht="13.5"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9"/>
      <c r="BT88" s="19"/>
      <c r="BU88" s="19"/>
      <c r="BV88" s="19"/>
      <c r="BW88" s="19"/>
      <c r="BX88" s="19"/>
      <c r="BY88" s="19"/>
      <c r="BZ88" s="19"/>
      <c r="CA88" s="19"/>
      <c r="CB88" s="19"/>
      <c r="CC88" s="19"/>
      <c r="CD88" s="19"/>
      <c r="CE88" s="19"/>
      <c r="CF88" s="19"/>
      <c r="CG88" s="19"/>
      <c r="CH88" s="19"/>
      <c r="CI88" s="19"/>
    </row>
    <row r="89" spans="1:87" ht="13.5"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9"/>
      <c r="BT89" s="19"/>
      <c r="BU89" s="19"/>
      <c r="BV89" s="19"/>
      <c r="BW89" s="19"/>
      <c r="BX89" s="19"/>
      <c r="BY89" s="19"/>
      <c r="BZ89" s="19"/>
      <c r="CA89" s="19"/>
      <c r="CB89" s="19"/>
      <c r="CC89" s="19"/>
      <c r="CD89" s="19"/>
      <c r="CE89" s="19"/>
      <c r="CF89" s="19"/>
      <c r="CG89" s="19"/>
      <c r="CH89" s="19"/>
      <c r="CI89" s="19"/>
    </row>
    <row r="90" spans="1:87" ht="13.5"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9"/>
      <c r="BT90" s="19"/>
      <c r="BU90" s="19"/>
      <c r="BV90" s="19"/>
      <c r="BW90" s="19"/>
      <c r="BX90" s="19"/>
      <c r="BY90" s="19"/>
      <c r="BZ90" s="19"/>
      <c r="CA90" s="19"/>
      <c r="CB90" s="19"/>
      <c r="CC90" s="19"/>
      <c r="CD90" s="19"/>
      <c r="CE90" s="19"/>
      <c r="CF90" s="19"/>
      <c r="CG90" s="19"/>
      <c r="CH90" s="19"/>
      <c r="CI90" s="19"/>
    </row>
    <row r="91" spans="1:87" ht="13.5"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9"/>
      <c r="BT91" s="19"/>
      <c r="BU91" s="19"/>
      <c r="BV91" s="19"/>
      <c r="BW91" s="19"/>
      <c r="BX91" s="19"/>
      <c r="BY91" s="19"/>
      <c r="BZ91" s="19"/>
      <c r="CA91" s="19"/>
      <c r="CB91" s="19"/>
      <c r="CC91" s="19"/>
      <c r="CD91" s="19"/>
      <c r="CE91" s="19"/>
      <c r="CF91" s="19"/>
      <c r="CG91" s="19"/>
      <c r="CH91" s="19"/>
      <c r="CI91" s="19"/>
    </row>
    <row r="92" spans="1:87" ht="13.5"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9"/>
      <c r="BT92" s="19"/>
      <c r="BU92" s="19"/>
      <c r="BV92" s="19"/>
      <c r="BW92" s="19"/>
      <c r="BX92" s="19"/>
      <c r="BY92" s="19"/>
      <c r="BZ92" s="19"/>
      <c r="CA92" s="19"/>
      <c r="CB92" s="19"/>
      <c r="CC92" s="19"/>
      <c r="CD92" s="19"/>
      <c r="CE92" s="19"/>
      <c r="CF92" s="19"/>
      <c r="CG92" s="19"/>
      <c r="CH92" s="19"/>
      <c r="CI92" s="19"/>
    </row>
    <row r="93" spans="1:87" ht="13.5"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9"/>
      <c r="BT93" s="19"/>
      <c r="BU93" s="19"/>
      <c r="BV93" s="19"/>
      <c r="BW93" s="19"/>
      <c r="BX93" s="19"/>
      <c r="BY93" s="19"/>
      <c r="BZ93" s="19"/>
      <c r="CA93" s="19"/>
      <c r="CB93" s="19"/>
      <c r="CC93" s="19"/>
      <c r="CD93" s="19"/>
      <c r="CE93" s="19"/>
      <c r="CF93" s="19"/>
      <c r="CG93" s="19"/>
      <c r="CH93" s="19"/>
      <c r="CI93" s="19"/>
    </row>
    <row r="94" spans="1:87" ht="13.5"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9"/>
      <c r="BT94" s="19"/>
      <c r="BU94" s="19"/>
      <c r="BV94" s="19"/>
      <c r="BW94" s="19"/>
      <c r="BX94" s="19"/>
      <c r="BY94" s="19"/>
      <c r="BZ94" s="19"/>
      <c r="CA94" s="19"/>
      <c r="CB94" s="19"/>
      <c r="CC94" s="19"/>
      <c r="CD94" s="19"/>
      <c r="CE94" s="19"/>
      <c r="CF94" s="19"/>
      <c r="CG94" s="19"/>
      <c r="CH94" s="19"/>
      <c r="CI94" s="19"/>
    </row>
    <row r="95" spans="1:87" ht="13.5"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9"/>
      <c r="BT95" s="19"/>
      <c r="BU95" s="19"/>
      <c r="BV95" s="19"/>
      <c r="BW95" s="19"/>
      <c r="BX95" s="19"/>
      <c r="BY95" s="19"/>
      <c r="BZ95" s="19"/>
      <c r="CA95" s="19"/>
      <c r="CB95" s="19"/>
      <c r="CC95" s="19"/>
      <c r="CD95" s="19"/>
      <c r="CE95" s="19"/>
      <c r="CF95" s="19"/>
      <c r="CG95" s="19"/>
      <c r="CH95" s="19"/>
      <c r="CI95" s="19"/>
    </row>
    <row r="96" spans="1:87" ht="13.5"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9"/>
      <c r="BT96" s="19"/>
      <c r="BU96" s="19"/>
      <c r="BV96" s="19"/>
      <c r="BW96" s="19"/>
      <c r="BX96" s="19"/>
      <c r="BY96" s="19"/>
      <c r="BZ96" s="19"/>
      <c r="CA96" s="19"/>
      <c r="CB96" s="19"/>
      <c r="CC96" s="19"/>
      <c r="CD96" s="19"/>
      <c r="CE96" s="19"/>
      <c r="CF96" s="19"/>
      <c r="CG96" s="19"/>
      <c r="CH96" s="19"/>
      <c r="CI96" s="19"/>
    </row>
    <row r="97" spans="1:87" ht="13.5"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9"/>
      <c r="BT97" s="19"/>
      <c r="BU97" s="19"/>
      <c r="BV97" s="19"/>
      <c r="BW97" s="19"/>
      <c r="BX97" s="19"/>
      <c r="BY97" s="19"/>
      <c r="BZ97" s="19"/>
      <c r="CA97" s="19"/>
      <c r="CB97" s="19"/>
      <c r="CC97" s="19"/>
      <c r="CD97" s="19"/>
      <c r="CE97" s="19"/>
      <c r="CF97" s="19"/>
      <c r="CG97" s="19"/>
      <c r="CH97" s="19"/>
      <c r="CI97" s="19"/>
    </row>
    <row r="98" spans="1:87" ht="13.5"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9"/>
      <c r="BT98" s="19"/>
      <c r="BU98" s="19"/>
      <c r="BV98" s="19"/>
      <c r="BW98" s="19"/>
      <c r="BX98" s="19"/>
      <c r="BY98" s="19"/>
      <c r="BZ98" s="19"/>
      <c r="CA98" s="19"/>
      <c r="CB98" s="19"/>
      <c r="CC98" s="19"/>
      <c r="CD98" s="19"/>
      <c r="CE98" s="19"/>
      <c r="CF98" s="19"/>
      <c r="CG98" s="19"/>
      <c r="CH98" s="19"/>
      <c r="CI98" s="19"/>
    </row>
    <row r="99" spans="1:87" ht="13.5"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9"/>
      <c r="BT99" s="19"/>
      <c r="BU99" s="19"/>
      <c r="BV99" s="19"/>
      <c r="BW99" s="19"/>
      <c r="BX99" s="19"/>
      <c r="BY99" s="19"/>
      <c r="BZ99" s="19"/>
      <c r="CA99" s="19"/>
      <c r="CB99" s="19"/>
      <c r="CC99" s="19"/>
      <c r="CD99" s="19"/>
      <c r="CE99" s="19"/>
      <c r="CF99" s="19"/>
      <c r="CG99" s="19"/>
      <c r="CH99" s="19"/>
      <c r="CI99" s="19"/>
    </row>
    <row r="100" spans="1:87" ht="13.5"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9"/>
      <c r="BT100" s="19"/>
      <c r="BU100" s="19"/>
      <c r="BV100" s="19"/>
      <c r="BW100" s="19"/>
      <c r="BX100" s="19"/>
      <c r="BY100" s="19"/>
      <c r="BZ100" s="19"/>
      <c r="CA100" s="19"/>
      <c r="CB100" s="19"/>
      <c r="CC100" s="19"/>
      <c r="CD100" s="19"/>
      <c r="CE100" s="19"/>
      <c r="CF100" s="19"/>
      <c r="CG100" s="19"/>
      <c r="CH100" s="19"/>
      <c r="CI100" s="19"/>
    </row>
    <row r="101" spans="1:87" ht="13.5"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9"/>
      <c r="BT101" s="19"/>
      <c r="BU101" s="19"/>
      <c r="BV101" s="19"/>
      <c r="BW101" s="19"/>
      <c r="BX101" s="19"/>
      <c r="BY101" s="19"/>
      <c r="BZ101" s="19"/>
      <c r="CA101" s="19"/>
      <c r="CB101" s="19"/>
      <c r="CC101" s="19"/>
      <c r="CD101" s="19"/>
      <c r="CE101" s="19"/>
      <c r="CF101" s="19"/>
      <c r="CG101" s="19"/>
      <c r="CH101" s="19"/>
      <c r="CI101" s="19"/>
    </row>
    <row r="102" spans="1:87" ht="13.5"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9"/>
      <c r="BT102" s="19"/>
      <c r="BU102" s="19"/>
      <c r="BV102" s="19"/>
      <c r="BW102" s="19"/>
      <c r="BX102" s="19"/>
      <c r="BY102" s="19"/>
      <c r="BZ102" s="19"/>
      <c r="CA102" s="19"/>
      <c r="CB102" s="19"/>
      <c r="CC102" s="19"/>
      <c r="CD102" s="19"/>
      <c r="CE102" s="19"/>
      <c r="CF102" s="19"/>
      <c r="CG102" s="19"/>
      <c r="CH102" s="19"/>
      <c r="CI102" s="19"/>
    </row>
    <row r="103" spans="1:87" ht="13.5"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9"/>
      <c r="BT103" s="19"/>
      <c r="BU103" s="19"/>
      <c r="BV103" s="19"/>
      <c r="BW103" s="19"/>
      <c r="BX103" s="19"/>
      <c r="BY103" s="19"/>
      <c r="BZ103" s="19"/>
      <c r="CA103" s="19"/>
      <c r="CB103" s="19"/>
      <c r="CC103" s="19"/>
      <c r="CD103" s="19"/>
      <c r="CE103" s="19"/>
      <c r="CF103" s="19"/>
      <c r="CG103" s="19"/>
      <c r="CH103" s="19"/>
      <c r="CI103" s="19"/>
    </row>
    <row r="104" spans="1:87" ht="13.5"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9"/>
      <c r="BT104" s="19"/>
      <c r="BU104" s="19"/>
      <c r="BV104" s="19"/>
      <c r="BW104" s="19"/>
      <c r="BX104" s="19"/>
      <c r="BY104" s="19"/>
      <c r="BZ104" s="19"/>
      <c r="CA104" s="19"/>
      <c r="CB104" s="19"/>
      <c r="CC104" s="19"/>
      <c r="CD104" s="19"/>
      <c r="CE104" s="19"/>
      <c r="CF104" s="19"/>
      <c r="CG104" s="19"/>
      <c r="CH104" s="19"/>
      <c r="CI104" s="19"/>
    </row>
    <row r="105" spans="1:87" ht="13.5"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9"/>
      <c r="BT105" s="19"/>
      <c r="BU105" s="19"/>
      <c r="BV105" s="19"/>
      <c r="BW105" s="19"/>
      <c r="BX105" s="19"/>
      <c r="BY105" s="19"/>
      <c r="BZ105" s="19"/>
      <c r="CA105" s="19"/>
      <c r="CB105" s="19"/>
      <c r="CC105" s="19"/>
      <c r="CD105" s="19"/>
      <c r="CE105" s="19"/>
      <c r="CF105" s="19"/>
      <c r="CG105" s="19"/>
      <c r="CH105" s="19"/>
      <c r="CI105" s="19"/>
    </row>
    <row r="106" spans="1:87" ht="13.5"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9"/>
      <c r="BT106" s="19"/>
      <c r="BU106" s="19"/>
      <c r="BV106" s="19"/>
      <c r="BW106" s="19"/>
      <c r="BX106" s="19"/>
      <c r="BY106" s="19"/>
      <c r="BZ106" s="19"/>
      <c r="CA106" s="19"/>
      <c r="CB106" s="19"/>
      <c r="CC106" s="19"/>
      <c r="CD106" s="19"/>
      <c r="CE106" s="19"/>
      <c r="CF106" s="19"/>
      <c r="CG106" s="19"/>
      <c r="CH106" s="19"/>
      <c r="CI106" s="19"/>
    </row>
    <row r="107" spans="1:87" ht="13.5"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9"/>
      <c r="BT107" s="19"/>
      <c r="BU107" s="19"/>
      <c r="BV107" s="19"/>
      <c r="BW107" s="19"/>
      <c r="BX107" s="19"/>
      <c r="BY107" s="19"/>
      <c r="BZ107" s="19"/>
      <c r="CA107" s="19"/>
      <c r="CB107" s="19"/>
      <c r="CC107" s="19"/>
      <c r="CD107" s="19"/>
      <c r="CE107" s="19"/>
      <c r="CF107" s="19"/>
      <c r="CG107" s="19"/>
      <c r="CH107" s="19"/>
      <c r="CI107" s="19"/>
    </row>
    <row r="108" spans="1:87" ht="13.5"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9"/>
      <c r="BT108" s="19"/>
      <c r="BU108" s="19"/>
      <c r="BV108" s="19"/>
      <c r="BW108" s="19"/>
      <c r="BX108" s="19"/>
      <c r="BY108" s="19"/>
      <c r="BZ108" s="19"/>
      <c r="CA108" s="19"/>
      <c r="CB108" s="19"/>
      <c r="CC108" s="19"/>
      <c r="CD108" s="19"/>
      <c r="CE108" s="19"/>
      <c r="CF108" s="19"/>
      <c r="CG108" s="19"/>
      <c r="CH108" s="19"/>
      <c r="CI108" s="19"/>
    </row>
    <row r="109" spans="1:87" ht="13.5"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9"/>
      <c r="BT109" s="19"/>
      <c r="BU109" s="19"/>
      <c r="BV109" s="19"/>
      <c r="BW109" s="19"/>
      <c r="BX109" s="19"/>
      <c r="BY109" s="19"/>
      <c r="BZ109" s="19"/>
      <c r="CA109" s="19"/>
      <c r="CB109" s="19"/>
      <c r="CC109" s="19"/>
      <c r="CD109" s="19"/>
      <c r="CE109" s="19"/>
      <c r="CF109" s="19"/>
      <c r="CG109" s="19"/>
      <c r="CH109" s="19"/>
      <c r="CI109" s="19"/>
    </row>
    <row r="110" spans="1:87" ht="13.5"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9"/>
      <c r="BT110" s="19"/>
      <c r="BU110" s="19"/>
      <c r="BV110" s="19"/>
      <c r="BW110" s="19"/>
      <c r="BX110" s="19"/>
      <c r="BY110" s="19"/>
      <c r="BZ110" s="19"/>
      <c r="CA110" s="19"/>
      <c r="CB110" s="19"/>
      <c r="CC110" s="19"/>
      <c r="CD110" s="19"/>
      <c r="CE110" s="19"/>
      <c r="CF110" s="19"/>
      <c r="CG110" s="19"/>
      <c r="CH110" s="19"/>
      <c r="CI110" s="19"/>
    </row>
    <row r="111" spans="1:87" ht="13.5"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9"/>
      <c r="BT111" s="19"/>
      <c r="BU111" s="19"/>
      <c r="BV111" s="19"/>
      <c r="BW111" s="19"/>
      <c r="BX111" s="19"/>
      <c r="BY111" s="19"/>
      <c r="BZ111" s="19"/>
      <c r="CA111" s="19"/>
      <c r="CB111" s="19"/>
      <c r="CC111" s="19"/>
      <c r="CD111" s="19"/>
      <c r="CE111" s="19"/>
      <c r="CF111" s="19"/>
      <c r="CG111" s="19"/>
      <c r="CH111" s="19"/>
      <c r="CI111" s="19"/>
    </row>
    <row r="112" spans="1:87" ht="13.5"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9"/>
      <c r="BT112" s="19"/>
      <c r="BU112" s="19"/>
      <c r="BV112" s="19"/>
      <c r="BW112" s="19"/>
      <c r="BX112" s="19"/>
      <c r="BY112" s="19"/>
      <c r="BZ112" s="19"/>
      <c r="CA112" s="19"/>
      <c r="CB112" s="19"/>
      <c r="CC112" s="19"/>
      <c r="CD112" s="19"/>
      <c r="CE112" s="19"/>
      <c r="CF112" s="19"/>
      <c r="CG112" s="19"/>
      <c r="CH112" s="19"/>
      <c r="CI112" s="19"/>
    </row>
    <row r="113" spans="1:87" ht="13.5"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9"/>
      <c r="BT113" s="19"/>
      <c r="BU113" s="19"/>
      <c r="BV113" s="19"/>
      <c r="BW113" s="19"/>
      <c r="BX113" s="19"/>
      <c r="BY113" s="19"/>
      <c r="BZ113" s="19"/>
      <c r="CA113" s="19"/>
      <c r="CB113" s="19"/>
      <c r="CC113" s="19"/>
      <c r="CD113" s="19"/>
      <c r="CE113" s="19"/>
      <c r="CF113" s="19"/>
      <c r="CG113" s="19"/>
      <c r="CH113" s="19"/>
      <c r="CI113" s="19"/>
    </row>
    <row r="114" spans="1:87" ht="13.5"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9"/>
      <c r="BT114" s="19"/>
      <c r="BU114" s="19"/>
      <c r="BV114" s="19"/>
      <c r="BW114" s="19"/>
      <c r="BX114" s="19"/>
      <c r="BY114" s="19"/>
      <c r="BZ114" s="19"/>
      <c r="CA114" s="19"/>
      <c r="CB114" s="19"/>
      <c r="CC114" s="19"/>
      <c r="CD114" s="19"/>
      <c r="CE114" s="19"/>
      <c r="CF114" s="19"/>
      <c r="CG114" s="19"/>
      <c r="CH114" s="19"/>
      <c r="CI114" s="19"/>
    </row>
    <row r="115" spans="1:87" ht="13.5"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9"/>
      <c r="BT115" s="19"/>
      <c r="BU115" s="19"/>
      <c r="BV115" s="19"/>
      <c r="BW115" s="19"/>
      <c r="BX115" s="19"/>
      <c r="BY115" s="19"/>
      <c r="BZ115" s="19"/>
      <c r="CA115" s="19"/>
      <c r="CB115" s="19"/>
      <c r="CC115" s="19"/>
      <c r="CD115" s="19"/>
      <c r="CE115" s="19"/>
      <c r="CF115" s="19"/>
      <c r="CG115" s="19"/>
      <c r="CH115" s="19"/>
      <c r="CI115" s="19"/>
    </row>
    <row r="116" spans="1:87" ht="13.5"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9"/>
      <c r="BT116" s="19"/>
      <c r="BU116" s="19"/>
      <c r="BV116" s="19"/>
      <c r="BW116" s="19"/>
      <c r="BX116" s="19"/>
      <c r="BY116" s="19"/>
      <c r="BZ116" s="19"/>
      <c r="CA116" s="19"/>
      <c r="CB116" s="19"/>
      <c r="CC116" s="19"/>
      <c r="CD116" s="19"/>
      <c r="CE116" s="19"/>
      <c r="CF116" s="19"/>
      <c r="CG116" s="19"/>
      <c r="CH116" s="19"/>
      <c r="CI116" s="19"/>
    </row>
    <row r="117" spans="1:87" ht="13.5"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9"/>
      <c r="BT117" s="19"/>
      <c r="BU117" s="19"/>
      <c r="BV117" s="19"/>
      <c r="BW117" s="19"/>
      <c r="BX117" s="19"/>
      <c r="BY117" s="19"/>
      <c r="BZ117" s="19"/>
      <c r="CA117" s="19"/>
      <c r="CB117" s="19"/>
      <c r="CC117" s="19"/>
      <c r="CD117" s="19"/>
      <c r="CE117" s="19"/>
      <c r="CF117" s="19"/>
      <c r="CG117" s="19"/>
      <c r="CH117" s="19"/>
      <c r="CI117" s="19"/>
    </row>
    <row r="118" spans="1:87" ht="13.5"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9"/>
      <c r="BT118" s="19"/>
      <c r="BU118" s="19"/>
      <c r="BV118" s="19"/>
      <c r="BW118" s="19"/>
      <c r="BX118" s="19"/>
      <c r="BY118" s="19"/>
      <c r="BZ118" s="19"/>
      <c r="CA118" s="19"/>
      <c r="CB118" s="19"/>
      <c r="CC118" s="19"/>
      <c r="CD118" s="19"/>
      <c r="CE118" s="19"/>
      <c r="CF118" s="19"/>
      <c r="CG118" s="19"/>
      <c r="CH118" s="19"/>
      <c r="CI118" s="19"/>
    </row>
    <row r="119" spans="1:87" ht="13.5"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9"/>
      <c r="BT119" s="19"/>
      <c r="BU119" s="19"/>
      <c r="BV119" s="19"/>
      <c r="BW119" s="19"/>
      <c r="BX119" s="19"/>
      <c r="BY119" s="19"/>
      <c r="BZ119" s="19"/>
      <c r="CA119" s="19"/>
      <c r="CB119" s="19"/>
      <c r="CC119" s="19"/>
      <c r="CD119" s="19"/>
      <c r="CE119" s="19"/>
      <c r="CF119" s="19"/>
      <c r="CG119" s="19"/>
      <c r="CH119" s="19"/>
      <c r="CI119" s="19"/>
    </row>
    <row r="120" spans="1:87" ht="13.5"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9"/>
      <c r="BT120" s="19"/>
      <c r="BU120" s="19"/>
      <c r="BV120" s="19"/>
      <c r="BW120" s="19"/>
      <c r="BX120" s="19"/>
      <c r="BY120" s="19"/>
      <c r="BZ120" s="19"/>
      <c r="CA120" s="19"/>
      <c r="CB120" s="19"/>
      <c r="CC120" s="19"/>
      <c r="CD120" s="19"/>
      <c r="CE120" s="19"/>
      <c r="CF120" s="19"/>
      <c r="CG120" s="19"/>
      <c r="CH120" s="19"/>
      <c r="CI120" s="19"/>
    </row>
    <row r="121" spans="1:87" ht="13.5"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9"/>
      <c r="BT121" s="19"/>
      <c r="BU121" s="19"/>
      <c r="BV121" s="19"/>
      <c r="BW121" s="19"/>
      <c r="BX121" s="19"/>
      <c r="BY121" s="19"/>
      <c r="BZ121" s="19"/>
      <c r="CA121" s="19"/>
      <c r="CB121" s="19"/>
      <c r="CC121" s="19"/>
      <c r="CD121" s="19"/>
      <c r="CE121" s="19"/>
      <c r="CF121" s="19"/>
      <c r="CG121" s="19"/>
      <c r="CH121" s="19"/>
      <c r="CI121" s="19"/>
    </row>
    <row r="122" spans="1:87" ht="13.5" x14ac:dyDescent="0.3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9"/>
      <c r="BT122" s="19"/>
      <c r="BU122" s="19"/>
      <c r="BV122" s="19"/>
      <c r="BW122" s="19"/>
      <c r="BX122" s="19"/>
      <c r="BY122" s="19"/>
      <c r="BZ122" s="19"/>
      <c r="CA122" s="19"/>
      <c r="CB122" s="19"/>
      <c r="CC122" s="19"/>
      <c r="CD122" s="19"/>
      <c r="CE122" s="19"/>
      <c r="CF122" s="19"/>
      <c r="CG122" s="19"/>
      <c r="CH122" s="19"/>
      <c r="CI122" s="19"/>
    </row>
    <row r="123" spans="1:87" ht="13.5" x14ac:dyDescent="0.3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9"/>
      <c r="BT123" s="19"/>
      <c r="BU123" s="19"/>
      <c r="BV123" s="19"/>
      <c r="BW123" s="19"/>
      <c r="BX123" s="19"/>
      <c r="BY123" s="19"/>
      <c r="BZ123" s="19"/>
      <c r="CA123" s="19"/>
      <c r="CB123" s="19"/>
      <c r="CC123" s="19"/>
      <c r="CD123" s="19"/>
      <c r="CE123" s="19"/>
      <c r="CF123" s="19"/>
      <c r="CG123" s="19"/>
      <c r="CH123" s="19"/>
      <c r="CI123" s="19"/>
    </row>
    <row r="124" spans="1:87" ht="13.5" x14ac:dyDescent="0.3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9"/>
      <c r="BT124" s="19"/>
      <c r="BU124" s="19"/>
      <c r="BV124" s="19"/>
      <c r="BW124" s="19"/>
      <c r="BX124" s="19"/>
      <c r="BY124" s="19"/>
      <c r="BZ124" s="19"/>
      <c r="CA124" s="19"/>
      <c r="CB124" s="19"/>
      <c r="CC124" s="19"/>
      <c r="CD124" s="19"/>
      <c r="CE124" s="19"/>
      <c r="CF124" s="19"/>
      <c r="CG124" s="19"/>
      <c r="CH124" s="19"/>
      <c r="CI124" s="19"/>
    </row>
    <row r="125" spans="1:87" ht="13.5" x14ac:dyDescent="0.3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9"/>
      <c r="BT125" s="19"/>
      <c r="BU125" s="19"/>
      <c r="BV125" s="19"/>
      <c r="BW125" s="19"/>
      <c r="BX125" s="19"/>
      <c r="BY125" s="19"/>
      <c r="BZ125" s="19"/>
      <c r="CA125" s="19"/>
      <c r="CB125" s="19"/>
      <c r="CC125" s="19"/>
      <c r="CD125" s="19"/>
      <c r="CE125" s="19"/>
      <c r="CF125" s="19"/>
      <c r="CG125" s="19"/>
      <c r="CH125" s="19"/>
      <c r="CI125" s="19"/>
    </row>
    <row r="126" spans="1:87" ht="13.5" x14ac:dyDescent="0.3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9"/>
      <c r="BT126" s="19"/>
      <c r="BU126" s="19"/>
      <c r="BV126" s="19"/>
      <c r="BW126" s="19"/>
      <c r="BX126" s="19"/>
      <c r="BY126" s="19"/>
      <c r="BZ126" s="19"/>
      <c r="CA126" s="19"/>
      <c r="CB126" s="19"/>
      <c r="CC126" s="19"/>
      <c r="CD126" s="19"/>
      <c r="CE126" s="19"/>
      <c r="CF126" s="19"/>
      <c r="CG126" s="19"/>
      <c r="CH126" s="19"/>
      <c r="CI126" s="19"/>
    </row>
    <row r="127" spans="1:87" ht="13.5" x14ac:dyDescent="0.3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9"/>
      <c r="BT127" s="19"/>
      <c r="BU127" s="19"/>
      <c r="BV127" s="19"/>
      <c r="BW127" s="19"/>
      <c r="BX127" s="19"/>
      <c r="BY127" s="19"/>
      <c r="BZ127" s="19"/>
      <c r="CA127" s="19"/>
      <c r="CB127" s="19"/>
      <c r="CC127" s="19"/>
      <c r="CD127" s="19"/>
      <c r="CE127" s="19"/>
      <c r="CF127" s="19"/>
      <c r="CG127" s="19"/>
      <c r="CH127" s="19"/>
      <c r="CI127" s="19"/>
    </row>
    <row r="128" spans="1:87" ht="13.5" x14ac:dyDescent="0.3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9"/>
      <c r="BT128" s="19"/>
      <c r="BU128" s="19"/>
      <c r="BV128" s="19"/>
      <c r="BW128" s="19"/>
      <c r="BX128" s="19"/>
      <c r="BY128" s="19"/>
      <c r="BZ128" s="19"/>
      <c r="CA128" s="19"/>
      <c r="CB128" s="19"/>
      <c r="CC128" s="19"/>
      <c r="CD128" s="19"/>
      <c r="CE128" s="19"/>
      <c r="CF128" s="19"/>
      <c r="CG128" s="19"/>
      <c r="CH128" s="19"/>
      <c r="CI128" s="19"/>
    </row>
    <row r="129" spans="1:87" ht="13.5" x14ac:dyDescent="0.3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9"/>
      <c r="BT129" s="19"/>
      <c r="BU129" s="19"/>
      <c r="BV129" s="19"/>
      <c r="BW129" s="19"/>
      <c r="BX129" s="19"/>
      <c r="BY129" s="19"/>
      <c r="BZ129" s="19"/>
      <c r="CA129" s="19"/>
      <c r="CB129" s="19"/>
      <c r="CC129" s="19"/>
      <c r="CD129" s="19"/>
      <c r="CE129" s="19"/>
      <c r="CF129" s="19"/>
      <c r="CG129" s="19"/>
      <c r="CH129" s="19"/>
      <c r="CI129" s="19"/>
    </row>
    <row r="130" spans="1:87" ht="13.5" x14ac:dyDescent="0.3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9"/>
      <c r="BT130" s="19"/>
      <c r="BU130" s="19"/>
      <c r="BV130" s="19"/>
      <c r="BW130" s="19"/>
      <c r="BX130" s="19"/>
      <c r="BY130" s="19"/>
      <c r="BZ130" s="19"/>
      <c r="CA130" s="19"/>
      <c r="CB130" s="19"/>
      <c r="CC130" s="19"/>
      <c r="CD130" s="19"/>
      <c r="CE130" s="19"/>
      <c r="CF130" s="19"/>
      <c r="CG130" s="19"/>
      <c r="CH130" s="19"/>
      <c r="CI130" s="19"/>
    </row>
    <row r="131" spans="1:87" ht="13.5" x14ac:dyDescent="0.3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9"/>
      <c r="BT131" s="19"/>
      <c r="BU131" s="19"/>
      <c r="BV131" s="19"/>
      <c r="BW131" s="19"/>
      <c r="BX131" s="19"/>
      <c r="BY131" s="19"/>
      <c r="BZ131" s="19"/>
      <c r="CA131" s="19"/>
      <c r="CB131" s="19"/>
      <c r="CC131" s="19"/>
      <c r="CD131" s="19"/>
      <c r="CE131" s="19"/>
      <c r="CF131" s="19"/>
      <c r="CG131" s="19"/>
      <c r="CH131" s="19"/>
      <c r="CI131" s="19"/>
    </row>
    <row r="132" spans="1:87" ht="13.5" x14ac:dyDescent="0.3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9"/>
      <c r="BT132" s="19"/>
      <c r="BU132" s="19"/>
      <c r="BV132" s="19"/>
      <c r="BW132" s="19"/>
      <c r="BX132" s="19"/>
      <c r="BY132" s="19"/>
      <c r="BZ132" s="19"/>
      <c r="CA132" s="19"/>
      <c r="CB132" s="19"/>
      <c r="CC132" s="19"/>
      <c r="CD132" s="19"/>
      <c r="CE132" s="19"/>
      <c r="CF132" s="19"/>
      <c r="CG132" s="19"/>
      <c r="CH132" s="19"/>
      <c r="CI132" s="19"/>
    </row>
    <row r="133" spans="1:87" ht="13.5" x14ac:dyDescent="0.3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9"/>
      <c r="BT133" s="19"/>
      <c r="BU133" s="19"/>
      <c r="BV133" s="19"/>
      <c r="BW133" s="19"/>
      <c r="BX133" s="19"/>
      <c r="BY133" s="19"/>
      <c r="BZ133" s="19"/>
      <c r="CA133" s="19"/>
      <c r="CB133" s="19"/>
      <c r="CC133" s="19"/>
      <c r="CD133" s="19"/>
      <c r="CE133" s="19"/>
      <c r="CF133" s="19"/>
      <c r="CG133" s="19"/>
      <c r="CH133" s="19"/>
      <c r="CI133" s="19"/>
    </row>
    <row r="134" spans="1:87" ht="13.5" x14ac:dyDescent="0.3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9"/>
      <c r="BT134" s="19"/>
      <c r="BU134" s="19"/>
      <c r="BV134" s="19"/>
      <c r="BW134" s="19"/>
      <c r="BX134" s="19"/>
      <c r="BY134" s="19"/>
      <c r="BZ134" s="19"/>
      <c r="CA134" s="19"/>
      <c r="CB134" s="19"/>
      <c r="CC134" s="19"/>
      <c r="CD134" s="19"/>
      <c r="CE134" s="19"/>
      <c r="CF134" s="19"/>
      <c r="CG134" s="19"/>
      <c r="CH134" s="19"/>
      <c r="CI134" s="19"/>
    </row>
    <row r="135" spans="1:87" ht="13.5" x14ac:dyDescent="0.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9"/>
      <c r="BT135" s="19"/>
      <c r="BU135" s="19"/>
      <c r="BV135" s="19"/>
      <c r="BW135" s="19"/>
      <c r="BX135" s="19"/>
      <c r="BY135" s="19"/>
      <c r="BZ135" s="19"/>
      <c r="CA135" s="19"/>
      <c r="CB135" s="19"/>
      <c r="CC135" s="19"/>
      <c r="CD135" s="19"/>
      <c r="CE135" s="19"/>
      <c r="CF135" s="19"/>
      <c r="CG135" s="19"/>
      <c r="CH135" s="19"/>
      <c r="CI135" s="19"/>
    </row>
    <row r="136" spans="1:87" ht="13.5" x14ac:dyDescent="0.3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9"/>
      <c r="BT136" s="19"/>
      <c r="BU136" s="19"/>
      <c r="BV136" s="19"/>
      <c r="BW136" s="19"/>
      <c r="BX136" s="19"/>
      <c r="BY136" s="19"/>
      <c r="BZ136" s="19"/>
      <c r="CA136" s="19"/>
      <c r="CB136" s="19"/>
      <c r="CC136" s="19"/>
      <c r="CD136" s="19"/>
      <c r="CE136" s="19"/>
      <c r="CF136" s="19"/>
      <c r="CG136" s="19"/>
      <c r="CH136" s="19"/>
      <c r="CI136" s="19"/>
    </row>
    <row r="137" spans="1:87" ht="13.5" x14ac:dyDescent="0.3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9"/>
      <c r="BT137" s="19"/>
      <c r="BU137" s="19"/>
      <c r="BV137" s="19"/>
      <c r="BW137" s="19"/>
      <c r="BX137" s="19"/>
      <c r="BY137" s="19"/>
      <c r="BZ137" s="19"/>
      <c r="CA137" s="19"/>
      <c r="CB137" s="19"/>
      <c r="CC137" s="19"/>
      <c r="CD137" s="19"/>
      <c r="CE137" s="19"/>
      <c r="CF137" s="19"/>
      <c r="CG137" s="19"/>
      <c r="CH137" s="19"/>
      <c r="CI137" s="19"/>
    </row>
    <row r="138" spans="1:87" ht="13.5" x14ac:dyDescent="0.3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9"/>
      <c r="BT138" s="19"/>
      <c r="BU138" s="19"/>
      <c r="BV138" s="19"/>
      <c r="BW138" s="19"/>
      <c r="BX138" s="19"/>
      <c r="BY138" s="19"/>
      <c r="BZ138" s="19"/>
      <c r="CA138" s="19"/>
      <c r="CB138" s="19"/>
      <c r="CC138" s="19"/>
      <c r="CD138" s="19"/>
      <c r="CE138" s="19"/>
      <c r="CF138" s="19"/>
      <c r="CG138" s="19"/>
      <c r="CH138" s="19"/>
      <c r="CI138" s="19"/>
    </row>
    <row r="139" spans="1:87" ht="13.5" x14ac:dyDescent="0.35">
      <c r="A139" s="35"/>
      <c r="B139" s="18"/>
      <c r="C139" s="19"/>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9"/>
      <c r="BT139" s="19"/>
      <c r="BU139" s="19"/>
      <c r="BV139" s="19"/>
      <c r="BW139" s="19"/>
      <c r="BX139" s="19"/>
      <c r="BY139" s="19"/>
      <c r="BZ139" s="19"/>
      <c r="CA139" s="19"/>
      <c r="CB139" s="19"/>
      <c r="CC139" s="19"/>
      <c r="CD139" s="19"/>
      <c r="CE139" s="19"/>
      <c r="CF139" s="19"/>
      <c r="CG139" s="19"/>
      <c r="CH139" s="19"/>
      <c r="CI139" s="19"/>
    </row>
    <row r="140" spans="1:87" x14ac:dyDescent="0.35">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row>
    <row r="141" spans="1:87" x14ac:dyDescent="0.35">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row>
    <row r="142" spans="1:87" x14ac:dyDescent="0.35">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row>
    <row r="143" spans="1:87" x14ac:dyDescent="0.35">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row>
    <row r="144" spans="1:87" x14ac:dyDescent="0.35">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row>
    <row r="145" spans="2:87" x14ac:dyDescent="0.35">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row>
    <row r="146" spans="2:87" x14ac:dyDescent="0.35">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row>
    <row r="147" spans="2:87" x14ac:dyDescent="0.35">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row>
    <row r="148" spans="2:87" x14ac:dyDescent="0.35">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row>
    <row r="149" spans="2:87" x14ac:dyDescent="0.35">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row>
    <row r="150" spans="2:87" x14ac:dyDescent="0.35">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row>
    <row r="151" spans="2:87" x14ac:dyDescent="0.35">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row>
    <row r="152" spans="2:87" x14ac:dyDescent="0.35">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row>
    <row r="153" spans="2:87" x14ac:dyDescent="0.35">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row>
    <row r="154" spans="2:87" x14ac:dyDescent="0.35">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row>
    <row r="155" spans="2:87" x14ac:dyDescent="0.35">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row>
    <row r="156" spans="2:87" x14ac:dyDescent="0.35">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row>
    <row r="157" spans="2:87" x14ac:dyDescent="0.35">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row>
    <row r="158" spans="2:87" x14ac:dyDescent="0.35">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row>
    <row r="159" spans="2:87" x14ac:dyDescent="0.35">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row>
    <row r="160" spans="2:87" x14ac:dyDescent="0.35">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row>
    <row r="161" spans="2:87" x14ac:dyDescent="0.35">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row>
    <row r="162" spans="2:87" x14ac:dyDescent="0.35">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row>
    <row r="163" spans="2:87" x14ac:dyDescent="0.35">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row>
    <row r="164" spans="2:87" x14ac:dyDescent="0.35">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row>
    <row r="165" spans="2:87" x14ac:dyDescent="0.35">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row>
    <row r="166" spans="2:87" x14ac:dyDescent="0.35">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row>
    <row r="167" spans="2:87" x14ac:dyDescent="0.35">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row>
    <row r="168" spans="2:87" x14ac:dyDescent="0.35">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row>
    <row r="169" spans="2:87" x14ac:dyDescent="0.35">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row>
    <row r="170" spans="2:87" x14ac:dyDescent="0.35">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row>
    <row r="171" spans="2:87" x14ac:dyDescent="0.35">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row>
    <row r="172" spans="2:87" x14ac:dyDescent="0.35">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row>
    <row r="173" spans="2:87" x14ac:dyDescent="0.35">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row>
    <row r="174" spans="2:87" x14ac:dyDescent="0.35">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row>
    <row r="175" spans="2:87" x14ac:dyDescent="0.35">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row>
    <row r="176" spans="2:87" x14ac:dyDescent="0.35">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row>
    <row r="177" spans="2:87" x14ac:dyDescent="0.35">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row>
    <row r="178" spans="2:87" x14ac:dyDescent="0.35">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row>
    <row r="179" spans="2:87" x14ac:dyDescent="0.35">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row>
    <row r="180" spans="2:87" x14ac:dyDescent="0.35">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row>
    <row r="181" spans="2:87" x14ac:dyDescent="0.35">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row>
    <row r="182" spans="2:87" x14ac:dyDescent="0.35">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row>
    <row r="183" spans="2:87" x14ac:dyDescent="0.35">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row>
    <row r="184" spans="2:87" x14ac:dyDescent="0.35">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row>
    <row r="185" spans="2:87" x14ac:dyDescent="0.35">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row>
    <row r="186" spans="2:87" x14ac:dyDescent="0.35">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c r="BU186" s="19"/>
      <c r="BV186" s="19"/>
      <c r="BW186" s="19"/>
      <c r="BX186" s="19"/>
      <c r="BY186" s="19"/>
      <c r="BZ186" s="19"/>
      <c r="CA186" s="19"/>
      <c r="CB186" s="19"/>
      <c r="CC186" s="19"/>
      <c r="CD186" s="19"/>
      <c r="CE186" s="19"/>
      <c r="CF186" s="19"/>
      <c r="CG186" s="19"/>
      <c r="CH186" s="19"/>
      <c r="CI186" s="19"/>
    </row>
    <row r="187" spans="2:87" x14ac:dyDescent="0.35">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c r="BU187" s="19"/>
      <c r="BV187" s="19"/>
      <c r="BW187" s="19"/>
      <c r="BX187" s="19"/>
      <c r="BY187" s="19"/>
      <c r="BZ187" s="19"/>
      <c r="CA187" s="19"/>
      <c r="CB187" s="19"/>
      <c r="CC187" s="19"/>
      <c r="CD187" s="19"/>
      <c r="CE187" s="19"/>
      <c r="CF187" s="19"/>
      <c r="CG187" s="19"/>
      <c r="CH187" s="19"/>
      <c r="CI187" s="19"/>
    </row>
    <row r="188" spans="2:87" x14ac:dyDescent="0.35">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c r="BU188" s="19"/>
      <c r="BV188" s="19"/>
      <c r="BW188" s="19"/>
      <c r="BX188" s="19"/>
      <c r="BY188" s="19"/>
      <c r="BZ188" s="19"/>
      <c r="CA188" s="19"/>
      <c r="CB188" s="19"/>
      <c r="CC188" s="19"/>
      <c r="CD188" s="19"/>
      <c r="CE188" s="19"/>
      <c r="CF188" s="19"/>
      <c r="CG188" s="19"/>
      <c r="CH188" s="19"/>
      <c r="CI188" s="19"/>
    </row>
    <row r="189" spans="2:87" x14ac:dyDescent="0.35">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c r="BU189" s="19"/>
      <c r="BV189" s="19"/>
      <c r="BW189" s="19"/>
      <c r="BX189" s="19"/>
      <c r="BY189" s="19"/>
      <c r="BZ189" s="19"/>
      <c r="CA189" s="19"/>
      <c r="CB189" s="19"/>
      <c r="CC189" s="19"/>
      <c r="CD189" s="19"/>
      <c r="CE189" s="19"/>
      <c r="CF189" s="19"/>
      <c r="CG189" s="19"/>
      <c r="CH189" s="19"/>
      <c r="CI189" s="19"/>
    </row>
    <row r="190" spans="2:87" x14ac:dyDescent="0.35">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c r="BU190" s="19"/>
      <c r="BV190" s="19"/>
      <c r="BW190" s="19"/>
      <c r="BX190" s="19"/>
      <c r="BY190" s="19"/>
      <c r="BZ190" s="19"/>
      <c r="CA190" s="19"/>
      <c r="CB190" s="19"/>
      <c r="CC190" s="19"/>
      <c r="CD190" s="19"/>
      <c r="CE190" s="19"/>
      <c r="CF190" s="19"/>
      <c r="CG190" s="19"/>
      <c r="CH190" s="19"/>
      <c r="CI190" s="19"/>
    </row>
    <row r="191" spans="2:87" x14ac:dyDescent="0.35">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c r="BU191" s="19"/>
      <c r="BV191" s="19"/>
      <c r="BW191" s="19"/>
      <c r="BX191" s="19"/>
      <c r="BY191" s="19"/>
      <c r="BZ191" s="19"/>
      <c r="CA191" s="19"/>
      <c r="CB191" s="19"/>
      <c r="CC191" s="19"/>
      <c r="CD191" s="19"/>
      <c r="CE191" s="19"/>
      <c r="CF191" s="19"/>
      <c r="CG191" s="19"/>
      <c r="CH191" s="19"/>
      <c r="CI191" s="19"/>
    </row>
  </sheetData>
  <mergeCells count="23">
    <mergeCell ref="B1:C3"/>
    <mergeCell ref="D1:K1"/>
    <mergeCell ref="L1:M1"/>
    <mergeCell ref="D2:K2"/>
    <mergeCell ref="L2:M2"/>
    <mergeCell ref="D3:K3"/>
    <mergeCell ref="L3:M3"/>
    <mergeCell ref="C19:G19"/>
    <mergeCell ref="C20:G20"/>
    <mergeCell ref="H15:L15"/>
    <mergeCell ref="H16:L16"/>
    <mergeCell ref="H17:L17"/>
    <mergeCell ref="H18:L18"/>
    <mergeCell ref="H19:L19"/>
    <mergeCell ref="H20:L20"/>
    <mergeCell ref="B5:M5"/>
    <mergeCell ref="B6:M9"/>
    <mergeCell ref="C13:G14"/>
    <mergeCell ref="H12:L14"/>
    <mergeCell ref="C16:G18"/>
    <mergeCell ref="B10:M10"/>
    <mergeCell ref="C15:G15"/>
    <mergeCell ref="C12:G12"/>
  </mergeCells>
  <printOptions horizontalCentered="1"/>
  <pageMargins left="0.70866141732283472" right="0.70866141732283472" top="0.43307086614173229" bottom="0.74803149606299213" header="0.31496062992125984" footer="0.31496062992125984"/>
  <pageSetup scale="64" orientation="landscape" r:id="rId1"/>
  <headerFooter alignWithMargins="0">
    <oddFooter>&amp;R&amp;"Arial,Normal"&amp;12Página &amp;P de &amp;N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fitToPage="1"/>
  </sheetPr>
  <dimension ref="A1:BG141"/>
  <sheetViews>
    <sheetView showGridLines="0" showZeros="0" showOutlineSymbols="0" view="pageBreakPreview" zoomScaleNormal="87" zoomScaleSheetLayoutView="100" zoomScalePageLayoutView="40" workbookViewId="0">
      <selection activeCell="B19" sqref="B19:C20"/>
    </sheetView>
  </sheetViews>
  <sheetFormatPr baseColWidth="10" defaultColWidth="30.73046875" defaultRowHeight="17.25" x14ac:dyDescent="0.45"/>
  <cols>
    <col min="1" max="1" width="30.73046875" style="129"/>
    <col min="2" max="9" width="10.73046875" style="126" customWidth="1"/>
    <col min="10" max="10" width="30.73046875" style="127"/>
    <col min="11" max="16" width="30.73046875" style="128"/>
    <col min="17" max="16384" width="30.73046875" style="129"/>
  </cols>
  <sheetData>
    <row r="1" spans="1:58" ht="18.75" customHeight="1" thickBot="1" x14ac:dyDescent="0.5">
      <c r="A1" s="413"/>
      <c r="B1" s="416" t="s">
        <v>298</v>
      </c>
      <c r="C1" s="417"/>
      <c r="D1" s="417"/>
      <c r="E1" s="417"/>
      <c r="F1" s="417"/>
      <c r="G1" s="417"/>
      <c r="H1" s="417"/>
      <c r="I1" s="418"/>
      <c r="J1" s="144" t="s">
        <v>181</v>
      </c>
      <c r="K1" s="129"/>
      <c r="L1" s="141"/>
    </row>
    <row r="2" spans="1:58" ht="18.75" customHeight="1" thickBot="1" x14ac:dyDescent="0.5">
      <c r="A2" s="414"/>
      <c r="B2" s="419" t="s">
        <v>182</v>
      </c>
      <c r="C2" s="420"/>
      <c r="D2" s="420"/>
      <c r="E2" s="420"/>
      <c r="F2" s="420"/>
      <c r="G2" s="420"/>
      <c r="H2" s="420"/>
      <c r="I2" s="421"/>
      <c r="J2" s="145" t="s">
        <v>184</v>
      </c>
      <c r="K2" s="129"/>
      <c r="L2" s="142"/>
    </row>
    <row r="3" spans="1:58" ht="18.75" customHeight="1" thickBot="1" x14ac:dyDescent="0.5">
      <c r="A3" s="415"/>
      <c r="B3" s="422" t="s">
        <v>138</v>
      </c>
      <c r="C3" s="423"/>
      <c r="D3" s="423"/>
      <c r="E3" s="423"/>
      <c r="F3" s="423"/>
      <c r="G3" s="423"/>
      <c r="H3" s="423"/>
      <c r="I3" s="424"/>
      <c r="J3" s="146">
        <v>43854</v>
      </c>
      <c r="K3" s="129"/>
      <c r="L3" s="143"/>
    </row>
    <row r="4" spans="1:58" x14ac:dyDescent="0.45">
      <c r="L4" s="132"/>
    </row>
    <row r="5" spans="1:58" ht="15.75" customHeight="1" x14ac:dyDescent="0.45">
      <c r="B5" s="130"/>
      <c r="C5" s="130"/>
      <c r="D5" s="130"/>
      <c r="E5" s="130"/>
      <c r="F5" s="130"/>
      <c r="G5" s="130"/>
      <c r="H5" s="130"/>
      <c r="I5" s="130"/>
      <c r="J5" s="130"/>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c r="AO5" s="131"/>
      <c r="AP5" s="131"/>
      <c r="AQ5" s="131"/>
      <c r="AR5" s="131"/>
      <c r="AS5" s="131"/>
      <c r="AT5" s="131"/>
      <c r="AU5" s="131"/>
      <c r="AV5" s="131"/>
      <c r="AW5" s="131"/>
      <c r="AX5" s="131"/>
      <c r="AY5" s="131"/>
      <c r="AZ5" s="131"/>
      <c r="BA5" s="131"/>
      <c r="BB5" s="131"/>
      <c r="BC5" s="131"/>
      <c r="BD5" s="131"/>
      <c r="BE5" s="132"/>
      <c r="BF5" s="132"/>
    </row>
    <row r="6" spans="1:58" ht="30" customHeight="1" x14ac:dyDescent="0.45">
      <c r="B6" s="425" t="str">
        <f>INDICE!D12</f>
        <v>JLE NAYARIT</v>
      </c>
      <c r="C6" s="426"/>
      <c r="D6" s="401" t="s">
        <v>145</v>
      </c>
      <c r="E6" s="401"/>
      <c r="F6" s="401"/>
      <c r="G6" s="401"/>
      <c r="H6" s="397" t="str">
        <f>INDICE!D14</f>
        <v>2020-2021</v>
      </c>
      <c r="I6" s="398"/>
      <c r="J6" s="133"/>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c r="AP6" s="131"/>
      <c r="AQ6" s="131"/>
      <c r="AR6" s="131"/>
      <c r="AS6" s="131"/>
      <c r="AT6" s="131"/>
      <c r="AU6" s="131"/>
      <c r="AV6" s="131"/>
      <c r="AW6" s="131"/>
      <c r="AX6" s="131"/>
      <c r="AY6" s="131"/>
      <c r="AZ6" s="131"/>
      <c r="BA6" s="131"/>
      <c r="BB6" s="131"/>
      <c r="BC6" s="131"/>
      <c r="BD6" s="131"/>
      <c r="BE6" s="132"/>
      <c r="BF6" s="132"/>
    </row>
    <row r="7" spans="1:58" ht="30" customHeight="1" x14ac:dyDescent="0.45">
      <c r="B7" s="427"/>
      <c r="C7" s="428"/>
      <c r="D7" s="402"/>
      <c r="E7" s="402"/>
      <c r="F7" s="402"/>
      <c r="G7" s="402"/>
      <c r="H7" s="399"/>
      <c r="I7" s="400"/>
      <c r="J7" s="133"/>
      <c r="K7" s="131" t="s">
        <v>144</v>
      </c>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c r="AO7" s="131"/>
      <c r="AP7" s="131"/>
      <c r="AQ7" s="131"/>
      <c r="AR7" s="131"/>
      <c r="AS7" s="131"/>
      <c r="AT7" s="131"/>
      <c r="AU7" s="131"/>
      <c r="AV7" s="131"/>
      <c r="AW7" s="131"/>
      <c r="AX7" s="131"/>
      <c r="AY7" s="131"/>
      <c r="AZ7" s="131"/>
      <c r="BA7" s="131"/>
      <c r="BB7" s="131"/>
      <c r="BC7" s="131"/>
      <c r="BD7" s="131"/>
      <c r="BE7" s="132"/>
      <c r="BF7" s="132"/>
    </row>
    <row r="8" spans="1:58" ht="30" customHeight="1" x14ac:dyDescent="0.45">
      <c r="B8" s="410" t="s">
        <v>185</v>
      </c>
      <c r="C8" s="411"/>
      <c r="D8" s="411"/>
      <c r="E8" s="411"/>
      <c r="F8" s="411"/>
      <c r="G8" s="411"/>
      <c r="H8" s="411"/>
      <c r="I8" s="412"/>
      <c r="J8" s="133"/>
      <c r="K8" s="131"/>
      <c r="L8" s="131"/>
      <c r="M8" s="131"/>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1"/>
      <c r="BD8" s="131"/>
      <c r="BE8" s="132"/>
      <c r="BF8" s="132"/>
    </row>
    <row r="9" spans="1:58" ht="30" customHeight="1" x14ac:dyDescent="0.45">
      <c r="B9" s="410"/>
      <c r="C9" s="411"/>
      <c r="D9" s="411"/>
      <c r="E9" s="411"/>
      <c r="F9" s="411"/>
      <c r="G9" s="411"/>
      <c r="H9" s="411"/>
      <c r="I9" s="412"/>
      <c r="J9" s="133"/>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c r="AP9" s="131"/>
      <c r="AQ9" s="131"/>
      <c r="AR9" s="131"/>
      <c r="AS9" s="131"/>
      <c r="AT9" s="131"/>
      <c r="AU9" s="131"/>
      <c r="AV9" s="131"/>
      <c r="AW9" s="131"/>
      <c r="AX9" s="131"/>
      <c r="AY9" s="131"/>
      <c r="AZ9" s="131"/>
      <c r="BA9" s="131"/>
      <c r="BB9" s="131"/>
      <c r="BC9" s="131"/>
      <c r="BD9" s="131"/>
      <c r="BE9" s="132"/>
      <c r="BF9" s="132"/>
    </row>
    <row r="10" spans="1:58" ht="30" customHeight="1" x14ac:dyDescent="0.45">
      <c r="B10" s="390"/>
      <c r="C10" s="391"/>
      <c r="D10" s="391"/>
      <c r="E10" s="391"/>
      <c r="F10" s="391"/>
      <c r="G10" s="391"/>
      <c r="H10" s="391"/>
      <c r="I10" s="392"/>
      <c r="J10" s="133"/>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c r="AP10" s="131"/>
      <c r="AQ10" s="131"/>
      <c r="AR10" s="131"/>
      <c r="AS10" s="131"/>
      <c r="AT10" s="131"/>
      <c r="AU10" s="131"/>
      <c r="AV10" s="131"/>
      <c r="AW10" s="131"/>
      <c r="AX10" s="131"/>
      <c r="AY10" s="131"/>
      <c r="AZ10" s="131"/>
      <c r="BA10" s="131"/>
      <c r="BB10" s="131"/>
      <c r="BC10" s="131"/>
      <c r="BD10" s="131"/>
      <c r="BE10" s="132"/>
      <c r="BF10" s="132"/>
    </row>
    <row r="11" spans="1:58" ht="30" customHeight="1" x14ac:dyDescent="0.45">
      <c r="B11" s="393" t="str">
        <f>INDICE!D12</f>
        <v>JLE NAYARIT</v>
      </c>
      <c r="C11" s="394"/>
      <c r="D11" s="401" t="s">
        <v>134</v>
      </c>
      <c r="E11" s="401"/>
      <c r="F11" s="401"/>
      <c r="G11" s="401"/>
      <c r="H11" s="406" t="str">
        <f>INDICE!D14</f>
        <v>2020-2021</v>
      </c>
      <c r="I11" s="407"/>
      <c r="J11" s="133"/>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c r="AP11" s="131"/>
      <c r="AQ11" s="131"/>
      <c r="AR11" s="131"/>
      <c r="AS11" s="131"/>
      <c r="AT11" s="131"/>
      <c r="AU11" s="131"/>
      <c r="AV11" s="131"/>
      <c r="AW11" s="131"/>
      <c r="AX11" s="131"/>
      <c r="AY11" s="131"/>
      <c r="AZ11" s="131"/>
      <c r="BA11" s="131"/>
      <c r="BB11" s="131"/>
      <c r="BC11" s="131"/>
      <c r="BD11" s="131"/>
      <c r="BE11" s="132"/>
      <c r="BF11" s="132"/>
    </row>
    <row r="12" spans="1:58" ht="30" customHeight="1" x14ac:dyDescent="0.45">
      <c r="B12" s="395"/>
      <c r="C12" s="396"/>
      <c r="D12" s="402"/>
      <c r="E12" s="402"/>
      <c r="F12" s="402"/>
      <c r="G12" s="402"/>
      <c r="H12" s="408"/>
      <c r="I12" s="409"/>
      <c r="J12" s="133"/>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c r="AP12" s="131"/>
      <c r="AQ12" s="131"/>
      <c r="AR12" s="131"/>
      <c r="AS12" s="131"/>
      <c r="AT12" s="131"/>
      <c r="AU12" s="131"/>
      <c r="AV12" s="131"/>
      <c r="AW12" s="131"/>
      <c r="AX12" s="131"/>
      <c r="AY12" s="131"/>
      <c r="AZ12" s="131"/>
      <c r="BA12" s="131"/>
      <c r="BB12" s="131"/>
      <c r="BC12" s="131"/>
      <c r="BD12" s="131"/>
      <c r="BE12" s="132"/>
      <c r="BF12" s="132"/>
    </row>
    <row r="13" spans="1:58" ht="30" customHeight="1" x14ac:dyDescent="0.45">
      <c r="B13" s="410" t="s">
        <v>186</v>
      </c>
      <c r="C13" s="411"/>
      <c r="D13" s="411"/>
      <c r="E13" s="411"/>
      <c r="F13" s="411"/>
      <c r="G13" s="411"/>
      <c r="H13" s="411"/>
      <c r="I13" s="412"/>
      <c r="J13" s="133"/>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c r="AP13" s="131"/>
      <c r="AQ13" s="131"/>
      <c r="AR13" s="131"/>
      <c r="AS13" s="131"/>
      <c r="AT13" s="131"/>
      <c r="AU13" s="131"/>
      <c r="AV13" s="131"/>
      <c r="AW13" s="131"/>
      <c r="AX13" s="131"/>
      <c r="AY13" s="131"/>
      <c r="AZ13" s="131"/>
      <c r="BA13" s="131"/>
      <c r="BB13" s="131"/>
      <c r="BC13" s="131"/>
      <c r="BD13" s="131"/>
      <c r="BE13" s="132"/>
      <c r="BF13" s="132"/>
    </row>
    <row r="14" spans="1:58" ht="30" customHeight="1" x14ac:dyDescent="0.45">
      <c r="B14" s="410"/>
      <c r="C14" s="411"/>
      <c r="D14" s="411"/>
      <c r="E14" s="411"/>
      <c r="F14" s="411"/>
      <c r="G14" s="411"/>
      <c r="H14" s="411"/>
      <c r="I14" s="412"/>
      <c r="J14" s="133"/>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c r="AO14" s="131"/>
      <c r="AP14" s="131"/>
      <c r="AQ14" s="131"/>
      <c r="AR14" s="131"/>
      <c r="AS14" s="131"/>
      <c r="AT14" s="131"/>
      <c r="AU14" s="131"/>
      <c r="AV14" s="131"/>
      <c r="AW14" s="131"/>
      <c r="AX14" s="131"/>
      <c r="AY14" s="131"/>
      <c r="AZ14" s="131"/>
      <c r="BA14" s="131"/>
      <c r="BB14" s="131"/>
      <c r="BC14" s="131"/>
      <c r="BD14" s="131"/>
      <c r="BE14" s="132"/>
      <c r="BF14" s="132"/>
    </row>
    <row r="15" spans="1:58" ht="30" customHeight="1" x14ac:dyDescent="0.45">
      <c r="B15" s="390"/>
      <c r="C15" s="391"/>
      <c r="D15" s="391"/>
      <c r="E15" s="391"/>
      <c r="F15" s="391"/>
      <c r="G15" s="391"/>
      <c r="H15" s="391"/>
      <c r="I15" s="392"/>
      <c r="J15" s="133"/>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c r="AP15" s="131"/>
      <c r="AQ15" s="131"/>
      <c r="AR15" s="131"/>
      <c r="AS15" s="131"/>
      <c r="AT15" s="131"/>
      <c r="AU15" s="131"/>
      <c r="AV15" s="131"/>
      <c r="AW15" s="131"/>
      <c r="AX15" s="131"/>
      <c r="AY15" s="131"/>
      <c r="AZ15" s="131"/>
      <c r="BA15" s="131"/>
      <c r="BB15" s="131"/>
      <c r="BC15" s="131"/>
      <c r="BD15" s="131"/>
      <c r="BE15" s="132"/>
      <c r="BF15" s="132"/>
    </row>
    <row r="16" spans="1:58" s="128" customFormat="1" ht="30" customHeight="1" x14ac:dyDescent="0.45">
      <c r="B16" s="393" t="str">
        <f>INDICE!D12</f>
        <v>JLE NAYARIT</v>
      </c>
      <c r="C16" s="394"/>
      <c r="D16" s="401" t="s">
        <v>187</v>
      </c>
      <c r="E16" s="401"/>
      <c r="F16" s="401"/>
      <c r="G16" s="401"/>
      <c r="H16" s="397" t="str">
        <f>INDICE!D14</f>
        <v>2020-2021</v>
      </c>
      <c r="I16" s="398"/>
      <c r="J16" s="133"/>
      <c r="K16" s="131"/>
      <c r="L16" s="131"/>
      <c r="M16" s="131"/>
      <c r="N16" s="131"/>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c r="AP16" s="131"/>
      <c r="AQ16" s="131"/>
      <c r="AR16" s="131"/>
      <c r="AS16" s="131"/>
      <c r="AT16" s="131"/>
      <c r="AU16" s="131"/>
      <c r="AV16" s="131"/>
      <c r="AW16" s="131"/>
      <c r="AX16" s="131"/>
      <c r="AY16" s="131"/>
      <c r="AZ16" s="131"/>
      <c r="BA16" s="131"/>
      <c r="BB16" s="131"/>
      <c r="BC16" s="131"/>
      <c r="BD16" s="131"/>
      <c r="BE16" s="132"/>
      <c r="BF16" s="132"/>
    </row>
    <row r="17" spans="2:59" s="128" customFormat="1" ht="30" customHeight="1" x14ac:dyDescent="0.45">
      <c r="B17" s="395"/>
      <c r="C17" s="396"/>
      <c r="D17" s="402"/>
      <c r="E17" s="402"/>
      <c r="F17" s="402"/>
      <c r="G17" s="402"/>
      <c r="H17" s="399"/>
      <c r="I17" s="400"/>
      <c r="J17" s="133"/>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2"/>
      <c r="BF17" s="132"/>
    </row>
    <row r="18" spans="2:59" s="136" customFormat="1" ht="55.5" customHeight="1" x14ac:dyDescent="0.45">
      <c r="B18" s="390" t="s">
        <v>336</v>
      </c>
      <c r="C18" s="391"/>
      <c r="D18" s="391"/>
      <c r="E18" s="391"/>
      <c r="F18" s="391"/>
      <c r="G18" s="391"/>
      <c r="H18" s="391"/>
      <c r="I18" s="392"/>
      <c r="J18" s="133"/>
      <c r="K18" s="134"/>
      <c r="L18" s="134"/>
      <c r="M18" s="134"/>
      <c r="N18" s="134"/>
      <c r="O18" s="134"/>
      <c r="P18" s="134"/>
      <c r="Q18" s="134"/>
      <c r="R18" s="134"/>
      <c r="S18" s="134"/>
      <c r="T18" s="134"/>
      <c r="U18" s="134"/>
      <c r="V18" s="134"/>
      <c r="W18" s="134"/>
      <c r="X18" s="134"/>
      <c r="Y18" s="134"/>
      <c r="Z18" s="134"/>
      <c r="AA18" s="134"/>
      <c r="AB18" s="134"/>
      <c r="AC18" s="134"/>
      <c r="AD18" s="134"/>
      <c r="AE18" s="134"/>
      <c r="AF18" s="134"/>
      <c r="AG18" s="134"/>
      <c r="AH18" s="134"/>
      <c r="AI18" s="134"/>
      <c r="AJ18" s="134"/>
      <c r="AK18" s="134"/>
      <c r="AL18" s="134"/>
      <c r="AM18" s="134"/>
      <c r="AN18" s="134"/>
      <c r="AO18" s="134"/>
      <c r="AP18" s="134"/>
      <c r="AQ18" s="134"/>
      <c r="AR18" s="134"/>
      <c r="AS18" s="134"/>
      <c r="AT18" s="134"/>
      <c r="AU18" s="134"/>
      <c r="AV18" s="134"/>
      <c r="AW18" s="134"/>
      <c r="AX18" s="134"/>
      <c r="AY18" s="134"/>
      <c r="AZ18" s="134"/>
      <c r="BA18" s="134"/>
      <c r="BB18" s="134"/>
      <c r="BC18" s="134"/>
      <c r="BD18" s="134"/>
      <c r="BE18" s="135"/>
      <c r="BF18" s="135"/>
      <c r="BG18" s="135"/>
    </row>
    <row r="19" spans="2:59" s="136" customFormat="1" ht="30" customHeight="1" x14ac:dyDescent="0.45">
      <c r="B19" s="393" t="str">
        <f>INDICE!D12</f>
        <v>JLE NAYARIT</v>
      </c>
      <c r="C19" s="394"/>
      <c r="D19" s="401" t="s">
        <v>188</v>
      </c>
      <c r="E19" s="401"/>
      <c r="F19" s="401"/>
      <c r="G19" s="401"/>
      <c r="H19" s="397" t="str">
        <f>INDICE!D14</f>
        <v>2020-2021</v>
      </c>
      <c r="I19" s="403"/>
      <c r="J19" s="133"/>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5"/>
      <c r="BF19" s="135"/>
      <c r="BG19" s="135"/>
    </row>
    <row r="20" spans="2:59" s="136" customFormat="1" ht="30" customHeight="1" x14ac:dyDescent="0.45">
      <c r="B20" s="395"/>
      <c r="C20" s="396"/>
      <c r="D20" s="402"/>
      <c r="E20" s="402"/>
      <c r="F20" s="402"/>
      <c r="G20" s="402"/>
      <c r="H20" s="404"/>
      <c r="I20" s="405"/>
      <c r="J20" s="133"/>
      <c r="K20" s="134"/>
      <c r="L20" s="134"/>
      <c r="M20" s="134"/>
      <c r="N20" s="134"/>
      <c r="O20" s="134"/>
      <c r="P20" s="134"/>
      <c r="Q20" s="134"/>
      <c r="R20" s="134"/>
      <c r="S20" s="134"/>
      <c r="T20" s="134"/>
      <c r="U20" s="134"/>
      <c r="V20" s="134"/>
      <c r="W20" s="134"/>
      <c r="X20" s="134"/>
      <c r="Y20" s="134"/>
      <c r="Z20" s="134"/>
      <c r="AA20" s="134"/>
      <c r="AB20" s="134"/>
      <c r="AC20" s="134"/>
      <c r="AD20" s="134"/>
      <c r="AE20" s="134"/>
      <c r="AF20" s="134"/>
      <c r="AG20" s="134"/>
      <c r="AH20" s="134"/>
      <c r="AI20" s="134"/>
      <c r="AJ20" s="134"/>
      <c r="AK20" s="134"/>
      <c r="AL20" s="134"/>
      <c r="AM20" s="134"/>
      <c r="AN20" s="134"/>
      <c r="AO20" s="134"/>
      <c r="AP20" s="134"/>
      <c r="AQ20" s="134"/>
      <c r="AR20" s="134"/>
      <c r="AS20" s="134"/>
      <c r="AT20" s="134"/>
      <c r="AU20" s="134"/>
      <c r="AV20" s="134"/>
      <c r="AW20" s="134"/>
      <c r="AX20" s="134"/>
      <c r="AY20" s="134"/>
      <c r="AZ20" s="134"/>
      <c r="BA20" s="134"/>
      <c r="BB20" s="134"/>
      <c r="BC20" s="134"/>
      <c r="BD20" s="134"/>
      <c r="BE20" s="135"/>
      <c r="BF20" s="135"/>
      <c r="BG20" s="135"/>
    </row>
    <row r="21" spans="2:59" s="136" customFormat="1" ht="51" customHeight="1" x14ac:dyDescent="0.45">
      <c r="B21" s="390" t="s">
        <v>337</v>
      </c>
      <c r="C21" s="391"/>
      <c r="D21" s="391"/>
      <c r="E21" s="391"/>
      <c r="F21" s="391"/>
      <c r="G21" s="391"/>
      <c r="H21" s="391"/>
      <c r="I21" s="392"/>
      <c r="J21" s="133"/>
      <c r="K21" s="134"/>
      <c r="L21" s="134"/>
      <c r="M21" s="134"/>
      <c r="N21" s="134"/>
      <c r="O21" s="134"/>
      <c r="P21" s="134"/>
      <c r="Q21" s="134"/>
      <c r="R21" s="134"/>
      <c r="S21" s="134"/>
      <c r="T21" s="134"/>
      <c r="U21" s="134"/>
      <c r="V21" s="134"/>
      <c r="W21" s="134"/>
      <c r="X21" s="134"/>
      <c r="Y21" s="134"/>
      <c r="Z21" s="134"/>
      <c r="AA21" s="134"/>
      <c r="AB21" s="134"/>
      <c r="AC21" s="134"/>
      <c r="AD21" s="134"/>
      <c r="AE21" s="134"/>
      <c r="AF21" s="134"/>
      <c r="AG21" s="134"/>
      <c r="AH21" s="134"/>
      <c r="AI21" s="134"/>
      <c r="AJ21" s="134"/>
      <c r="AK21" s="134"/>
      <c r="AL21" s="134"/>
      <c r="AM21" s="134"/>
      <c r="AN21" s="134"/>
      <c r="AO21" s="134"/>
      <c r="AP21" s="134"/>
      <c r="AQ21" s="134"/>
      <c r="AR21" s="134"/>
      <c r="AS21" s="134"/>
      <c r="AT21" s="134"/>
      <c r="AU21" s="134"/>
      <c r="AV21" s="134"/>
      <c r="AW21" s="134"/>
      <c r="AX21" s="134"/>
      <c r="AY21" s="134"/>
      <c r="AZ21" s="134"/>
      <c r="BA21" s="134"/>
      <c r="BB21" s="134"/>
      <c r="BC21" s="134"/>
      <c r="BD21" s="134"/>
      <c r="BE21" s="135"/>
      <c r="BF21" s="135"/>
      <c r="BG21" s="135"/>
    </row>
    <row r="22" spans="2:59" x14ac:dyDescent="0.45">
      <c r="B22" s="131"/>
      <c r="C22" s="131"/>
      <c r="D22" s="131"/>
      <c r="E22" s="131"/>
      <c r="F22" s="131"/>
      <c r="G22" s="131"/>
      <c r="H22" s="131"/>
      <c r="I22" s="131"/>
      <c r="J22" s="137"/>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c r="AP22" s="131"/>
      <c r="AQ22" s="131"/>
      <c r="AR22" s="131"/>
      <c r="AS22" s="131"/>
      <c r="AT22" s="131"/>
      <c r="AU22" s="131"/>
      <c r="AV22" s="131"/>
      <c r="AW22" s="131"/>
      <c r="AX22" s="131"/>
      <c r="AY22" s="131"/>
      <c r="AZ22" s="131"/>
      <c r="BA22" s="131"/>
      <c r="BB22" s="131"/>
      <c r="BC22" s="131"/>
      <c r="BD22" s="131"/>
      <c r="BE22" s="132"/>
      <c r="BF22" s="132"/>
      <c r="BG22" s="132"/>
    </row>
    <row r="23" spans="2:59" x14ac:dyDescent="0.45">
      <c r="B23" s="131"/>
      <c r="C23" s="131"/>
      <c r="D23" s="131"/>
      <c r="E23" s="131"/>
      <c r="F23" s="131"/>
      <c r="G23" s="131"/>
      <c r="H23" s="131"/>
      <c r="I23" s="131"/>
      <c r="J23" s="137"/>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1"/>
      <c r="BD23" s="131"/>
      <c r="BE23" s="132"/>
      <c r="BF23" s="132"/>
      <c r="BG23" s="132"/>
    </row>
    <row r="24" spans="2:59" x14ac:dyDescent="0.45">
      <c r="B24" s="131"/>
      <c r="C24" s="131"/>
      <c r="D24" s="131"/>
      <c r="E24" s="131"/>
      <c r="F24" s="131"/>
      <c r="G24" s="131"/>
      <c r="H24" s="131"/>
      <c r="I24" s="131"/>
      <c r="J24" s="137"/>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c r="AP24" s="131"/>
      <c r="AQ24" s="131"/>
      <c r="AR24" s="131"/>
      <c r="AS24" s="131"/>
      <c r="AT24" s="131"/>
      <c r="AU24" s="131"/>
      <c r="AV24" s="131"/>
      <c r="AW24" s="131"/>
      <c r="AX24" s="131"/>
      <c r="AY24" s="131"/>
      <c r="AZ24" s="131"/>
      <c r="BA24" s="131"/>
      <c r="BB24" s="131"/>
      <c r="BC24" s="131"/>
      <c r="BD24" s="131"/>
      <c r="BE24" s="132"/>
      <c r="BF24" s="132"/>
      <c r="BG24" s="132"/>
    </row>
    <row r="25" spans="2:59" x14ac:dyDescent="0.45">
      <c r="B25" s="131"/>
      <c r="C25" s="131"/>
      <c r="D25" s="131"/>
      <c r="E25" s="131"/>
      <c r="F25" s="131"/>
      <c r="G25" s="131"/>
      <c r="H25" s="131"/>
      <c r="I25" s="131"/>
      <c r="J25" s="137"/>
      <c r="K25" s="138"/>
      <c r="L25" s="138"/>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c r="AP25" s="131"/>
      <c r="AQ25" s="131"/>
      <c r="AR25" s="131"/>
      <c r="AS25" s="131"/>
      <c r="AT25" s="131"/>
      <c r="AU25" s="131"/>
      <c r="AV25" s="131"/>
      <c r="AW25" s="131"/>
      <c r="AX25" s="131"/>
      <c r="AY25" s="131"/>
      <c r="AZ25" s="131"/>
      <c r="BA25" s="131"/>
      <c r="BB25" s="131"/>
      <c r="BC25" s="131"/>
      <c r="BD25" s="131"/>
      <c r="BE25" s="132"/>
      <c r="BF25" s="132"/>
      <c r="BG25" s="132"/>
    </row>
    <row r="26" spans="2:59" x14ac:dyDescent="0.45">
      <c r="B26" s="131"/>
      <c r="C26" s="131"/>
      <c r="D26" s="131"/>
      <c r="E26" s="131"/>
      <c r="F26" s="131"/>
      <c r="G26" s="131"/>
      <c r="H26" s="131"/>
      <c r="I26" s="131"/>
      <c r="J26" s="137"/>
      <c r="K26" s="138"/>
      <c r="L26" s="138"/>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c r="AP26" s="131"/>
      <c r="AQ26" s="131"/>
      <c r="AR26" s="131"/>
      <c r="AS26" s="131"/>
      <c r="AT26" s="131"/>
      <c r="AU26" s="131"/>
      <c r="AV26" s="131"/>
      <c r="AW26" s="131"/>
      <c r="AX26" s="131"/>
      <c r="AY26" s="131"/>
      <c r="AZ26" s="131"/>
      <c r="BA26" s="131"/>
      <c r="BB26" s="131"/>
      <c r="BC26" s="131"/>
      <c r="BD26" s="131"/>
      <c r="BE26" s="132"/>
      <c r="BF26" s="132"/>
      <c r="BG26" s="132"/>
    </row>
    <row r="27" spans="2:59" x14ac:dyDescent="0.45">
      <c r="B27" s="131"/>
      <c r="C27" s="131"/>
      <c r="D27" s="131"/>
      <c r="E27" s="131"/>
      <c r="F27" s="131"/>
      <c r="G27" s="131"/>
      <c r="H27" s="131"/>
      <c r="I27" s="131"/>
      <c r="J27" s="139"/>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c r="AP27" s="131"/>
      <c r="AQ27" s="131"/>
      <c r="AR27" s="131"/>
      <c r="AS27" s="131"/>
      <c r="AT27" s="131"/>
      <c r="AU27" s="131"/>
      <c r="AV27" s="131"/>
      <c r="AW27" s="131"/>
      <c r="AX27" s="131"/>
      <c r="AY27" s="131"/>
      <c r="AZ27" s="131"/>
      <c r="BA27" s="131"/>
      <c r="BB27" s="131"/>
      <c r="BC27" s="131"/>
      <c r="BD27" s="131"/>
      <c r="BE27" s="132"/>
      <c r="BF27" s="132"/>
      <c r="BG27" s="132"/>
    </row>
    <row r="28" spans="2:59" x14ac:dyDescent="0.45">
      <c r="B28" s="131"/>
      <c r="C28" s="131"/>
      <c r="D28" s="131"/>
      <c r="E28" s="131"/>
      <c r="F28" s="131"/>
      <c r="G28" s="131"/>
      <c r="H28" s="131"/>
      <c r="I28" s="131"/>
      <c r="J28" s="139"/>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c r="AP28" s="131"/>
      <c r="AQ28" s="131"/>
      <c r="AR28" s="131"/>
      <c r="AS28" s="131"/>
      <c r="AT28" s="131"/>
      <c r="AU28" s="131"/>
      <c r="AV28" s="131"/>
      <c r="AW28" s="131"/>
      <c r="AX28" s="131"/>
      <c r="AY28" s="131"/>
      <c r="AZ28" s="131"/>
      <c r="BA28" s="131"/>
      <c r="BB28" s="131"/>
      <c r="BC28" s="131"/>
      <c r="BD28" s="131"/>
      <c r="BE28" s="132"/>
      <c r="BF28" s="132"/>
      <c r="BG28" s="132"/>
    </row>
    <row r="29" spans="2:59" x14ac:dyDescent="0.45">
      <c r="B29" s="131"/>
      <c r="C29" s="131"/>
      <c r="D29" s="131"/>
      <c r="E29" s="131"/>
      <c r="F29" s="131"/>
      <c r="G29" s="131"/>
      <c r="H29" s="131"/>
      <c r="I29" s="131"/>
      <c r="J29" s="139"/>
      <c r="K29" s="131"/>
      <c r="L29" s="131"/>
      <c r="M29" s="13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c r="AP29" s="131"/>
      <c r="AQ29" s="131"/>
      <c r="AR29" s="131"/>
      <c r="AS29" s="131"/>
      <c r="AT29" s="131"/>
      <c r="AU29" s="131"/>
      <c r="AV29" s="131"/>
      <c r="AW29" s="131"/>
      <c r="AX29" s="131"/>
      <c r="AY29" s="131"/>
      <c r="AZ29" s="131"/>
      <c r="BA29" s="131"/>
      <c r="BB29" s="131"/>
      <c r="BC29" s="131"/>
      <c r="BD29" s="131"/>
      <c r="BE29" s="132"/>
      <c r="BF29" s="132"/>
      <c r="BG29" s="132"/>
    </row>
    <row r="30" spans="2:59" x14ac:dyDescent="0.45">
      <c r="B30" s="131"/>
      <c r="C30" s="131"/>
      <c r="D30" s="131"/>
      <c r="E30" s="131"/>
      <c r="F30" s="131"/>
      <c r="G30" s="131"/>
      <c r="H30" s="131"/>
      <c r="I30" s="131"/>
      <c r="J30" s="139"/>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c r="AT30" s="131"/>
      <c r="AU30" s="131"/>
      <c r="AV30" s="131"/>
      <c r="AW30" s="131"/>
      <c r="AX30" s="131"/>
      <c r="AY30" s="131"/>
      <c r="AZ30" s="131"/>
      <c r="BA30" s="131"/>
      <c r="BB30" s="131"/>
      <c r="BC30" s="131"/>
      <c r="BD30" s="131"/>
      <c r="BE30" s="132"/>
      <c r="BF30" s="132"/>
      <c r="BG30" s="132"/>
    </row>
    <row r="31" spans="2:59" x14ac:dyDescent="0.45">
      <c r="B31" s="131"/>
      <c r="C31" s="131"/>
      <c r="D31" s="131"/>
      <c r="E31" s="131"/>
      <c r="F31" s="131"/>
      <c r="G31" s="131"/>
      <c r="H31" s="131"/>
      <c r="I31" s="131"/>
      <c r="J31" s="139"/>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c r="AP31" s="131"/>
      <c r="AQ31" s="131"/>
      <c r="AR31" s="131"/>
      <c r="AS31" s="131"/>
      <c r="AT31" s="131"/>
      <c r="AU31" s="131"/>
      <c r="AV31" s="131"/>
      <c r="AW31" s="131"/>
      <c r="AX31" s="131"/>
      <c r="AY31" s="131"/>
      <c r="AZ31" s="131"/>
      <c r="BA31" s="131"/>
      <c r="BB31" s="131"/>
      <c r="BC31" s="131"/>
      <c r="BD31" s="131"/>
      <c r="BE31" s="132"/>
      <c r="BF31" s="132"/>
      <c r="BG31" s="132"/>
    </row>
    <row r="32" spans="2:59" x14ac:dyDescent="0.45">
      <c r="B32" s="131"/>
      <c r="C32" s="131"/>
      <c r="D32" s="131"/>
      <c r="E32" s="131"/>
      <c r="F32" s="131"/>
      <c r="G32" s="131"/>
      <c r="H32" s="131"/>
      <c r="I32" s="131"/>
      <c r="J32" s="139"/>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c r="AP32" s="131"/>
      <c r="AQ32" s="131"/>
      <c r="AR32" s="131"/>
      <c r="AS32" s="131"/>
      <c r="AT32" s="131"/>
      <c r="AU32" s="131"/>
      <c r="AV32" s="131"/>
      <c r="AW32" s="131"/>
      <c r="AX32" s="131"/>
      <c r="AY32" s="131"/>
      <c r="AZ32" s="131"/>
      <c r="BA32" s="131"/>
      <c r="BB32" s="131"/>
      <c r="BC32" s="131"/>
      <c r="BD32" s="131"/>
      <c r="BE32" s="132"/>
      <c r="BF32" s="132"/>
      <c r="BG32" s="132"/>
    </row>
    <row r="33" spans="2:59" x14ac:dyDescent="0.45">
      <c r="B33" s="131"/>
      <c r="C33" s="131"/>
      <c r="D33" s="131"/>
      <c r="E33" s="131"/>
      <c r="F33" s="131"/>
      <c r="G33" s="131"/>
      <c r="H33" s="131"/>
      <c r="I33" s="131"/>
      <c r="J33" s="139"/>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c r="AP33" s="131"/>
      <c r="AQ33" s="131"/>
      <c r="AR33" s="131"/>
      <c r="AS33" s="131"/>
      <c r="AT33" s="131"/>
      <c r="AU33" s="131"/>
      <c r="AV33" s="131"/>
      <c r="AW33" s="131"/>
      <c r="AX33" s="131"/>
      <c r="AY33" s="131"/>
      <c r="AZ33" s="131"/>
      <c r="BA33" s="131"/>
      <c r="BB33" s="131"/>
      <c r="BC33" s="131"/>
      <c r="BD33" s="131"/>
      <c r="BE33" s="132"/>
      <c r="BF33" s="132"/>
      <c r="BG33" s="132"/>
    </row>
    <row r="34" spans="2:59" x14ac:dyDescent="0.45">
      <c r="B34" s="131"/>
      <c r="C34" s="131"/>
      <c r="D34" s="131"/>
      <c r="E34" s="131"/>
      <c r="F34" s="131"/>
      <c r="G34" s="131"/>
      <c r="H34" s="131"/>
      <c r="I34" s="131"/>
      <c r="J34" s="139"/>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c r="AP34" s="131"/>
      <c r="AQ34" s="131"/>
      <c r="AR34" s="131"/>
      <c r="AS34" s="131"/>
      <c r="AT34" s="131"/>
      <c r="AU34" s="131"/>
      <c r="AV34" s="131"/>
      <c r="AW34" s="131"/>
      <c r="AX34" s="131"/>
      <c r="AY34" s="131"/>
      <c r="AZ34" s="131"/>
      <c r="BA34" s="131"/>
      <c r="BB34" s="131"/>
      <c r="BC34" s="131"/>
      <c r="BD34" s="131"/>
      <c r="BE34" s="132"/>
      <c r="BF34" s="132"/>
      <c r="BG34" s="132"/>
    </row>
    <row r="35" spans="2:59" x14ac:dyDescent="0.45">
      <c r="B35" s="131"/>
      <c r="C35" s="131"/>
      <c r="D35" s="131"/>
      <c r="E35" s="131"/>
      <c r="F35" s="131"/>
      <c r="G35" s="131"/>
      <c r="H35" s="131"/>
      <c r="I35" s="131"/>
      <c r="J35" s="139"/>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c r="AP35" s="131"/>
      <c r="AQ35" s="131"/>
      <c r="AR35" s="131"/>
      <c r="AS35" s="131"/>
      <c r="AT35" s="131"/>
      <c r="AU35" s="131"/>
      <c r="AV35" s="131"/>
      <c r="AW35" s="131"/>
      <c r="AX35" s="131"/>
      <c r="AY35" s="131"/>
      <c r="AZ35" s="131"/>
      <c r="BA35" s="131"/>
      <c r="BB35" s="131"/>
      <c r="BC35" s="131"/>
      <c r="BD35" s="131"/>
      <c r="BE35" s="132"/>
      <c r="BF35" s="132"/>
      <c r="BG35" s="132"/>
    </row>
    <row r="36" spans="2:59" x14ac:dyDescent="0.45">
      <c r="B36" s="131"/>
      <c r="C36" s="131"/>
      <c r="D36" s="131"/>
      <c r="E36" s="131"/>
      <c r="F36" s="131"/>
      <c r="G36" s="131"/>
      <c r="H36" s="131"/>
      <c r="I36" s="131"/>
      <c r="J36" s="139"/>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c r="AP36" s="131"/>
      <c r="AQ36" s="131"/>
      <c r="AR36" s="131"/>
      <c r="AS36" s="131"/>
      <c r="AT36" s="131"/>
      <c r="AU36" s="131"/>
      <c r="AV36" s="131"/>
      <c r="AW36" s="131"/>
      <c r="AX36" s="131"/>
      <c r="AY36" s="131"/>
      <c r="AZ36" s="131"/>
      <c r="BA36" s="131"/>
      <c r="BB36" s="131"/>
      <c r="BC36" s="131"/>
      <c r="BD36" s="131"/>
      <c r="BE36" s="132"/>
      <c r="BF36" s="132"/>
      <c r="BG36" s="132"/>
    </row>
    <row r="37" spans="2:59" x14ac:dyDescent="0.45">
      <c r="B37" s="131"/>
      <c r="C37" s="131"/>
      <c r="D37" s="131"/>
      <c r="E37" s="131"/>
      <c r="F37" s="131"/>
      <c r="G37" s="131"/>
      <c r="H37" s="131"/>
      <c r="I37" s="131"/>
      <c r="J37" s="139"/>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c r="AP37" s="131"/>
      <c r="AQ37" s="131"/>
      <c r="AR37" s="131"/>
      <c r="AS37" s="131"/>
      <c r="AT37" s="131"/>
      <c r="AU37" s="131"/>
      <c r="AV37" s="131"/>
      <c r="AW37" s="131"/>
      <c r="AX37" s="131"/>
      <c r="AY37" s="131"/>
      <c r="AZ37" s="131"/>
      <c r="BA37" s="131"/>
      <c r="BB37" s="131"/>
      <c r="BC37" s="131"/>
      <c r="BD37" s="131"/>
      <c r="BE37" s="132"/>
      <c r="BF37" s="132"/>
      <c r="BG37" s="132"/>
    </row>
    <row r="38" spans="2:59" x14ac:dyDescent="0.45">
      <c r="B38" s="131"/>
      <c r="C38" s="131"/>
      <c r="D38" s="131"/>
      <c r="E38" s="131"/>
      <c r="F38" s="131"/>
      <c r="G38" s="131"/>
      <c r="H38" s="131"/>
      <c r="I38" s="131"/>
      <c r="J38" s="139"/>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c r="AP38" s="131"/>
      <c r="AQ38" s="131"/>
      <c r="AR38" s="131"/>
      <c r="AS38" s="131"/>
      <c r="AT38" s="131"/>
      <c r="AU38" s="131"/>
      <c r="AV38" s="131"/>
      <c r="AW38" s="131"/>
      <c r="AX38" s="131"/>
      <c r="AY38" s="131"/>
      <c r="AZ38" s="131"/>
      <c r="BA38" s="131"/>
      <c r="BB38" s="131"/>
      <c r="BC38" s="131"/>
      <c r="BD38" s="131"/>
      <c r="BE38" s="132"/>
      <c r="BF38" s="132"/>
      <c r="BG38" s="132"/>
    </row>
    <row r="39" spans="2:59" x14ac:dyDescent="0.45">
      <c r="B39" s="131"/>
      <c r="C39" s="131"/>
      <c r="D39" s="131"/>
      <c r="E39" s="131"/>
      <c r="F39" s="131"/>
      <c r="G39" s="131"/>
      <c r="H39" s="131"/>
      <c r="I39" s="131"/>
      <c r="J39" s="139"/>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c r="AP39" s="131"/>
      <c r="AQ39" s="131"/>
      <c r="AR39" s="131"/>
      <c r="AS39" s="131"/>
      <c r="AT39" s="131"/>
      <c r="AU39" s="131"/>
      <c r="AV39" s="131"/>
      <c r="AW39" s="131"/>
      <c r="AX39" s="131"/>
      <c r="AY39" s="131"/>
      <c r="AZ39" s="131"/>
      <c r="BA39" s="131"/>
      <c r="BB39" s="131"/>
      <c r="BC39" s="131"/>
      <c r="BD39" s="131"/>
      <c r="BE39" s="132"/>
      <c r="BF39" s="132"/>
      <c r="BG39" s="132"/>
    </row>
    <row r="40" spans="2:59" x14ac:dyDescent="0.45">
      <c r="B40" s="131"/>
      <c r="C40" s="131"/>
      <c r="D40" s="131"/>
      <c r="E40" s="131"/>
      <c r="F40" s="131"/>
      <c r="G40" s="131"/>
      <c r="H40" s="131"/>
      <c r="I40" s="131"/>
      <c r="J40" s="139"/>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c r="AP40" s="131"/>
      <c r="AQ40" s="131"/>
      <c r="AR40" s="131"/>
      <c r="AS40" s="131"/>
      <c r="AT40" s="131"/>
      <c r="AU40" s="131"/>
      <c r="AV40" s="131"/>
      <c r="AW40" s="131"/>
      <c r="AX40" s="131"/>
      <c r="AY40" s="131"/>
      <c r="AZ40" s="131"/>
      <c r="BA40" s="131"/>
      <c r="BB40" s="131"/>
      <c r="BC40" s="131"/>
      <c r="BD40" s="131"/>
      <c r="BE40" s="132"/>
      <c r="BF40" s="132"/>
      <c r="BG40" s="132"/>
    </row>
    <row r="41" spans="2:59" x14ac:dyDescent="0.45">
      <c r="B41" s="131"/>
      <c r="C41" s="131"/>
      <c r="D41" s="131"/>
      <c r="E41" s="131"/>
      <c r="F41" s="131"/>
      <c r="G41" s="131"/>
      <c r="H41" s="131"/>
      <c r="I41" s="131"/>
      <c r="J41" s="139"/>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c r="AP41" s="131"/>
      <c r="AQ41" s="131"/>
      <c r="AR41" s="131"/>
      <c r="AS41" s="131"/>
      <c r="AT41" s="131"/>
      <c r="AU41" s="131"/>
      <c r="AV41" s="131"/>
      <c r="AW41" s="131"/>
      <c r="AX41" s="131"/>
      <c r="AY41" s="131"/>
      <c r="AZ41" s="131"/>
      <c r="BA41" s="131"/>
      <c r="BB41" s="131"/>
      <c r="BC41" s="131"/>
      <c r="BD41" s="131"/>
      <c r="BE41" s="132"/>
      <c r="BF41" s="132"/>
      <c r="BG41" s="132"/>
    </row>
    <row r="42" spans="2:59" x14ac:dyDescent="0.45">
      <c r="B42" s="131"/>
      <c r="C42" s="131"/>
      <c r="D42" s="131"/>
      <c r="E42" s="131"/>
      <c r="F42" s="131"/>
      <c r="G42" s="131"/>
      <c r="H42" s="131"/>
      <c r="I42" s="131"/>
      <c r="J42" s="139"/>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c r="AP42" s="131"/>
      <c r="AQ42" s="131"/>
      <c r="AR42" s="131"/>
      <c r="AS42" s="131"/>
      <c r="AT42" s="131"/>
      <c r="AU42" s="131"/>
      <c r="AV42" s="131"/>
      <c r="AW42" s="131"/>
      <c r="AX42" s="131"/>
      <c r="AY42" s="131"/>
      <c r="AZ42" s="131"/>
      <c r="BA42" s="131"/>
      <c r="BB42" s="131"/>
      <c r="BC42" s="131"/>
      <c r="BD42" s="131"/>
      <c r="BE42" s="132"/>
      <c r="BF42" s="132"/>
      <c r="BG42" s="132"/>
    </row>
    <row r="43" spans="2:59" x14ac:dyDescent="0.45">
      <c r="B43" s="131"/>
      <c r="C43" s="131"/>
      <c r="D43" s="131"/>
      <c r="E43" s="131"/>
      <c r="F43" s="131"/>
      <c r="G43" s="131"/>
      <c r="H43" s="131"/>
      <c r="I43" s="131"/>
      <c r="J43" s="139"/>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1"/>
      <c r="BD43" s="131"/>
      <c r="BE43" s="132"/>
      <c r="BF43" s="132"/>
      <c r="BG43" s="132"/>
    </row>
    <row r="44" spans="2:59" x14ac:dyDescent="0.45">
      <c r="B44" s="131"/>
      <c r="C44" s="131"/>
      <c r="D44" s="131"/>
      <c r="E44" s="131"/>
      <c r="F44" s="131"/>
      <c r="G44" s="131"/>
      <c r="H44" s="131"/>
      <c r="I44" s="131"/>
      <c r="J44" s="139"/>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31"/>
      <c r="AS44" s="131"/>
      <c r="AT44" s="131"/>
      <c r="AU44" s="131"/>
      <c r="AV44" s="131"/>
      <c r="AW44" s="131"/>
      <c r="AX44" s="131"/>
      <c r="AY44" s="131"/>
      <c r="AZ44" s="131"/>
      <c r="BA44" s="131"/>
      <c r="BB44" s="131"/>
      <c r="BC44" s="131"/>
      <c r="BD44" s="131"/>
      <c r="BE44" s="132"/>
      <c r="BF44" s="132"/>
      <c r="BG44" s="132"/>
    </row>
    <row r="45" spans="2:59" x14ac:dyDescent="0.45">
      <c r="B45" s="131"/>
      <c r="C45" s="131"/>
      <c r="D45" s="131"/>
      <c r="E45" s="131"/>
      <c r="F45" s="131"/>
      <c r="G45" s="131"/>
      <c r="H45" s="131"/>
      <c r="I45" s="131"/>
      <c r="J45" s="139"/>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c r="AP45" s="131"/>
      <c r="AQ45" s="131"/>
      <c r="AR45" s="131"/>
      <c r="AS45" s="131"/>
      <c r="AT45" s="131"/>
      <c r="AU45" s="131"/>
      <c r="AV45" s="131"/>
      <c r="AW45" s="131"/>
      <c r="AX45" s="131"/>
      <c r="AY45" s="131"/>
      <c r="AZ45" s="131"/>
      <c r="BA45" s="131"/>
      <c r="BB45" s="131"/>
      <c r="BC45" s="131"/>
      <c r="BD45" s="131"/>
      <c r="BE45" s="132"/>
      <c r="BF45" s="132"/>
      <c r="BG45" s="132"/>
    </row>
    <row r="46" spans="2:59" x14ac:dyDescent="0.45">
      <c r="B46" s="131"/>
      <c r="C46" s="131"/>
      <c r="D46" s="131"/>
      <c r="E46" s="131"/>
      <c r="F46" s="131"/>
      <c r="G46" s="131"/>
      <c r="H46" s="131"/>
      <c r="I46" s="131"/>
      <c r="J46" s="139"/>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31"/>
      <c r="AS46" s="131"/>
      <c r="AT46" s="131"/>
      <c r="AU46" s="131"/>
      <c r="AV46" s="131"/>
      <c r="AW46" s="131"/>
      <c r="AX46" s="131"/>
      <c r="AY46" s="131"/>
      <c r="AZ46" s="131"/>
      <c r="BA46" s="131"/>
      <c r="BB46" s="131"/>
      <c r="BC46" s="131"/>
      <c r="BD46" s="131"/>
      <c r="BE46" s="132"/>
      <c r="BF46" s="132"/>
      <c r="BG46" s="132"/>
    </row>
    <row r="47" spans="2:59" x14ac:dyDescent="0.45">
      <c r="B47" s="131"/>
      <c r="C47" s="131"/>
      <c r="D47" s="131"/>
      <c r="E47" s="131"/>
      <c r="F47" s="131"/>
      <c r="G47" s="131"/>
      <c r="H47" s="131"/>
      <c r="I47" s="131"/>
      <c r="J47" s="139"/>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c r="AP47" s="131"/>
      <c r="AQ47" s="131"/>
      <c r="AR47" s="131"/>
      <c r="AS47" s="131"/>
      <c r="AT47" s="131"/>
      <c r="AU47" s="131"/>
      <c r="AV47" s="131"/>
      <c r="AW47" s="131"/>
      <c r="AX47" s="131"/>
      <c r="AY47" s="131"/>
      <c r="AZ47" s="131"/>
      <c r="BA47" s="131"/>
      <c r="BB47" s="131"/>
      <c r="BC47" s="131"/>
      <c r="BD47" s="131"/>
      <c r="BE47" s="132"/>
      <c r="BF47" s="132"/>
      <c r="BG47" s="132"/>
    </row>
    <row r="48" spans="2:59" x14ac:dyDescent="0.45">
      <c r="B48" s="131"/>
      <c r="C48" s="131"/>
      <c r="D48" s="131"/>
      <c r="E48" s="131"/>
      <c r="F48" s="131"/>
      <c r="G48" s="131"/>
      <c r="H48" s="131"/>
      <c r="I48" s="131"/>
      <c r="J48" s="139"/>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c r="AP48" s="131"/>
      <c r="AQ48" s="131"/>
      <c r="AR48" s="131"/>
      <c r="AS48" s="131"/>
      <c r="AT48" s="131"/>
      <c r="AU48" s="131"/>
      <c r="AV48" s="131"/>
      <c r="AW48" s="131"/>
      <c r="AX48" s="131"/>
      <c r="AY48" s="131"/>
      <c r="AZ48" s="131"/>
      <c r="BA48" s="131"/>
      <c r="BB48" s="131"/>
      <c r="BC48" s="131"/>
      <c r="BD48" s="131"/>
      <c r="BE48" s="132"/>
      <c r="BF48" s="132"/>
      <c r="BG48" s="132"/>
    </row>
    <row r="49" spans="2:59" x14ac:dyDescent="0.45">
      <c r="B49" s="131"/>
      <c r="C49" s="131"/>
      <c r="D49" s="131"/>
      <c r="E49" s="131"/>
      <c r="F49" s="131"/>
      <c r="G49" s="131"/>
      <c r="H49" s="131"/>
      <c r="I49" s="131"/>
      <c r="J49" s="139"/>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c r="AP49" s="131"/>
      <c r="AQ49" s="131"/>
      <c r="AR49" s="131"/>
      <c r="AS49" s="131"/>
      <c r="AT49" s="131"/>
      <c r="AU49" s="131"/>
      <c r="AV49" s="131"/>
      <c r="AW49" s="131"/>
      <c r="AX49" s="131"/>
      <c r="AY49" s="131"/>
      <c r="AZ49" s="131"/>
      <c r="BA49" s="131"/>
      <c r="BB49" s="131"/>
      <c r="BC49" s="131"/>
      <c r="BD49" s="131"/>
      <c r="BE49" s="132"/>
      <c r="BF49" s="132"/>
      <c r="BG49" s="132"/>
    </row>
    <row r="50" spans="2:59" x14ac:dyDescent="0.45">
      <c r="B50" s="131"/>
      <c r="C50" s="131"/>
      <c r="D50" s="131"/>
      <c r="E50" s="131"/>
      <c r="F50" s="131"/>
      <c r="G50" s="131"/>
      <c r="H50" s="131"/>
      <c r="I50" s="131"/>
      <c r="J50" s="139"/>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c r="AP50" s="131"/>
      <c r="AQ50" s="131"/>
      <c r="AR50" s="131"/>
      <c r="AS50" s="131"/>
      <c r="AT50" s="131"/>
      <c r="AU50" s="131"/>
      <c r="AV50" s="131"/>
      <c r="AW50" s="131"/>
      <c r="AX50" s="131"/>
      <c r="AY50" s="131"/>
      <c r="AZ50" s="131"/>
      <c r="BA50" s="131"/>
      <c r="BB50" s="131"/>
      <c r="BC50" s="131"/>
      <c r="BD50" s="131"/>
      <c r="BE50" s="132"/>
      <c r="BF50" s="132"/>
      <c r="BG50" s="132"/>
    </row>
    <row r="51" spans="2:59" x14ac:dyDescent="0.45">
      <c r="B51" s="131"/>
      <c r="C51" s="131"/>
      <c r="D51" s="131"/>
      <c r="E51" s="131"/>
      <c r="F51" s="131"/>
      <c r="G51" s="131"/>
      <c r="H51" s="131"/>
      <c r="I51" s="131"/>
      <c r="J51" s="139"/>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c r="AP51" s="131"/>
      <c r="AQ51" s="131"/>
      <c r="AR51" s="131"/>
      <c r="AS51" s="131"/>
      <c r="AT51" s="131"/>
      <c r="AU51" s="131"/>
      <c r="AV51" s="131"/>
      <c r="AW51" s="131"/>
      <c r="AX51" s="131"/>
      <c r="AY51" s="131"/>
      <c r="AZ51" s="131"/>
      <c r="BA51" s="131"/>
      <c r="BB51" s="131"/>
      <c r="BC51" s="131"/>
      <c r="BD51" s="131"/>
      <c r="BE51" s="132"/>
      <c r="BF51" s="132"/>
      <c r="BG51" s="132"/>
    </row>
    <row r="52" spans="2:59" x14ac:dyDescent="0.45">
      <c r="B52" s="131"/>
      <c r="C52" s="131"/>
      <c r="D52" s="131"/>
      <c r="E52" s="131"/>
      <c r="F52" s="131"/>
      <c r="G52" s="131"/>
      <c r="H52" s="131"/>
      <c r="I52" s="131"/>
      <c r="J52" s="139"/>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131"/>
      <c r="AT52" s="131"/>
      <c r="AU52" s="131"/>
      <c r="AV52" s="131"/>
      <c r="AW52" s="131"/>
      <c r="AX52" s="131"/>
      <c r="AY52" s="131"/>
      <c r="AZ52" s="131"/>
      <c r="BA52" s="131"/>
      <c r="BB52" s="131"/>
      <c r="BC52" s="131"/>
      <c r="BD52" s="131"/>
      <c r="BE52" s="132"/>
      <c r="BF52" s="132"/>
      <c r="BG52" s="132"/>
    </row>
    <row r="53" spans="2:59" x14ac:dyDescent="0.45">
      <c r="B53" s="131"/>
      <c r="C53" s="131"/>
      <c r="D53" s="131"/>
      <c r="E53" s="131"/>
      <c r="F53" s="131"/>
      <c r="G53" s="131"/>
      <c r="H53" s="131"/>
      <c r="I53" s="131"/>
      <c r="J53" s="139"/>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c r="AP53" s="131"/>
      <c r="AQ53" s="131"/>
      <c r="AR53" s="131"/>
      <c r="AS53" s="131"/>
      <c r="AT53" s="131"/>
      <c r="AU53" s="131"/>
      <c r="AV53" s="131"/>
      <c r="AW53" s="131"/>
      <c r="AX53" s="131"/>
      <c r="AY53" s="131"/>
      <c r="AZ53" s="131"/>
      <c r="BA53" s="131"/>
      <c r="BB53" s="131"/>
      <c r="BC53" s="131"/>
      <c r="BD53" s="131"/>
      <c r="BE53" s="132"/>
      <c r="BF53" s="132"/>
      <c r="BG53" s="132"/>
    </row>
    <row r="54" spans="2:59" x14ac:dyDescent="0.45">
      <c r="B54" s="131"/>
      <c r="C54" s="131"/>
      <c r="D54" s="131"/>
      <c r="E54" s="131"/>
      <c r="F54" s="131"/>
      <c r="G54" s="131"/>
      <c r="H54" s="131"/>
      <c r="I54" s="131"/>
      <c r="J54" s="139"/>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c r="AP54" s="131"/>
      <c r="AQ54" s="131"/>
      <c r="AR54" s="131"/>
      <c r="AS54" s="131"/>
      <c r="AT54" s="131"/>
      <c r="AU54" s="131"/>
      <c r="AV54" s="131"/>
      <c r="AW54" s="131"/>
      <c r="AX54" s="131"/>
      <c r="AY54" s="131"/>
      <c r="AZ54" s="131"/>
      <c r="BA54" s="131"/>
      <c r="BB54" s="131"/>
      <c r="BC54" s="131"/>
      <c r="BD54" s="131"/>
      <c r="BE54" s="132"/>
      <c r="BF54" s="132"/>
      <c r="BG54" s="132"/>
    </row>
    <row r="55" spans="2:59" x14ac:dyDescent="0.45">
      <c r="B55" s="131"/>
      <c r="C55" s="131"/>
      <c r="D55" s="131"/>
      <c r="E55" s="131"/>
      <c r="F55" s="131"/>
      <c r="G55" s="131"/>
      <c r="H55" s="131"/>
      <c r="I55" s="131"/>
      <c r="J55" s="139"/>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c r="AP55" s="131"/>
      <c r="AQ55" s="131"/>
      <c r="AR55" s="131"/>
      <c r="AS55" s="131"/>
      <c r="AT55" s="131"/>
      <c r="AU55" s="131"/>
      <c r="AV55" s="131"/>
      <c r="AW55" s="131"/>
      <c r="AX55" s="131"/>
      <c r="AY55" s="131"/>
      <c r="AZ55" s="131"/>
      <c r="BA55" s="131"/>
      <c r="BB55" s="131"/>
      <c r="BC55" s="131"/>
      <c r="BD55" s="131"/>
      <c r="BE55" s="132"/>
      <c r="BF55" s="132"/>
      <c r="BG55" s="132"/>
    </row>
    <row r="56" spans="2:59" x14ac:dyDescent="0.45">
      <c r="B56" s="131"/>
      <c r="C56" s="131"/>
      <c r="D56" s="131"/>
      <c r="E56" s="131"/>
      <c r="F56" s="131"/>
      <c r="G56" s="131"/>
      <c r="H56" s="131"/>
      <c r="I56" s="131"/>
      <c r="J56" s="139"/>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c r="AP56" s="131"/>
      <c r="AQ56" s="131"/>
      <c r="AR56" s="131"/>
      <c r="AS56" s="131"/>
      <c r="AT56" s="131"/>
      <c r="AU56" s="131"/>
      <c r="AV56" s="131"/>
      <c r="AW56" s="131"/>
      <c r="AX56" s="131"/>
      <c r="AY56" s="131"/>
      <c r="AZ56" s="131"/>
      <c r="BA56" s="131"/>
      <c r="BB56" s="131"/>
      <c r="BC56" s="131"/>
      <c r="BD56" s="131"/>
      <c r="BE56" s="132"/>
      <c r="BF56" s="132"/>
      <c r="BG56" s="132"/>
    </row>
    <row r="57" spans="2:59" x14ac:dyDescent="0.45">
      <c r="B57" s="131"/>
      <c r="C57" s="131"/>
      <c r="D57" s="131"/>
      <c r="E57" s="131"/>
      <c r="F57" s="131"/>
      <c r="G57" s="131"/>
      <c r="H57" s="131"/>
      <c r="I57" s="131"/>
      <c r="J57" s="139"/>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c r="AP57" s="131"/>
      <c r="AQ57" s="131"/>
      <c r="AR57" s="131"/>
      <c r="AS57" s="131"/>
      <c r="AT57" s="131"/>
      <c r="AU57" s="131"/>
      <c r="AV57" s="131"/>
      <c r="AW57" s="131"/>
      <c r="AX57" s="131"/>
      <c r="AY57" s="131"/>
      <c r="AZ57" s="131"/>
      <c r="BA57" s="131"/>
      <c r="BB57" s="131"/>
      <c r="BC57" s="131"/>
      <c r="BD57" s="131"/>
      <c r="BE57" s="132"/>
      <c r="BF57" s="132"/>
      <c r="BG57" s="132"/>
    </row>
    <row r="58" spans="2:59" x14ac:dyDescent="0.45">
      <c r="B58" s="131"/>
      <c r="C58" s="131"/>
      <c r="D58" s="131"/>
      <c r="E58" s="131"/>
      <c r="F58" s="131"/>
      <c r="G58" s="131"/>
      <c r="H58" s="131"/>
      <c r="I58" s="131"/>
      <c r="J58" s="139"/>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c r="AP58" s="131"/>
      <c r="AQ58" s="131"/>
      <c r="AR58" s="131"/>
      <c r="AS58" s="131"/>
      <c r="AT58" s="131"/>
      <c r="AU58" s="131"/>
      <c r="AV58" s="131"/>
      <c r="AW58" s="131"/>
      <c r="AX58" s="131"/>
      <c r="AY58" s="131"/>
      <c r="AZ58" s="131"/>
      <c r="BA58" s="131"/>
      <c r="BB58" s="131"/>
      <c r="BC58" s="131"/>
      <c r="BD58" s="131"/>
      <c r="BE58" s="132"/>
      <c r="BF58" s="132"/>
      <c r="BG58" s="132"/>
    </row>
    <row r="59" spans="2:59" x14ac:dyDescent="0.45">
      <c r="B59" s="131"/>
      <c r="C59" s="131"/>
      <c r="D59" s="131"/>
      <c r="E59" s="131"/>
      <c r="F59" s="131"/>
      <c r="G59" s="131"/>
      <c r="H59" s="131"/>
      <c r="I59" s="131"/>
      <c r="J59" s="139"/>
      <c r="K59" s="131"/>
      <c r="L59" s="131"/>
      <c r="M59" s="131"/>
      <c r="N59" s="13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N59" s="131"/>
      <c r="AO59" s="131"/>
      <c r="AP59" s="131"/>
      <c r="AQ59" s="131"/>
      <c r="AR59" s="131"/>
      <c r="AS59" s="131"/>
      <c r="AT59" s="131"/>
      <c r="AU59" s="131"/>
      <c r="AV59" s="131"/>
      <c r="AW59" s="131"/>
      <c r="AX59" s="131"/>
      <c r="AY59" s="131"/>
      <c r="AZ59" s="131"/>
      <c r="BA59" s="131"/>
      <c r="BB59" s="131"/>
      <c r="BC59" s="131"/>
      <c r="BD59" s="131"/>
      <c r="BE59" s="132"/>
      <c r="BF59" s="132"/>
      <c r="BG59" s="132"/>
    </row>
    <row r="60" spans="2:59" x14ac:dyDescent="0.45">
      <c r="B60" s="131"/>
      <c r="C60" s="131"/>
      <c r="D60" s="131"/>
      <c r="E60" s="131"/>
      <c r="F60" s="131"/>
      <c r="G60" s="131"/>
      <c r="H60" s="131"/>
      <c r="I60" s="131"/>
      <c r="J60" s="139"/>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c r="AP60" s="131"/>
      <c r="AQ60" s="131"/>
      <c r="AR60" s="131"/>
      <c r="AS60" s="131"/>
      <c r="AT60" s="131"/>
      <c r="AU60" s="131"/>
      <c r="AV60" s="131"/>
      <c r="AW60" s="131"/>
      <c r="AX60" s="131"/>
      <c r="AY60" s="131"/>
      <c r="AZ60" s="131"/>
      <c r="BA60" s="131"/>
      <c r="BB60" s="131"/>
      <c r="BC60" s="131"/>
      <c r="BD60" s="131"/>
      <c r="BE60" s="132"/>
      <c r="BF60" s="132"/>
      <c r="BG60" s="132"/>
    </row>
    <row r="61" spans="2:59" x14ac:dyDescent="0.45">
      <c r="B61" s="131"/>
      <c r="C61" s="131"/>
      <c r="D61" s="131"/>
      <c r="E61" s="131"/>
      <c r="F61" s="131"/>
      <c r="G61" s="131"/>
      <c r="H61" s="131"/>
      <c r="I61" s="131"/>
      <c r="J61" s="139"/>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1"/>
      <c r="AM61" s="131"/>
      <c r="AN61" s="131"/>
      <c r="AO61" s="131"/>
      <c r="AP61" s="131"/>
      <c r="AQ61" s="131"/>
      <c r="AR61" s="131"/>
      <c r="AS61" s="131"/>
      <c r="AT61" s="131"/>
      <c r="AU61" s="131"/>
      <c r="AV61" s="131"/>
      <c r="AW61" s="131"/>
      <c r="AX61" s="131"/>
      <c r="AY61" s="131"/>
      <c r="AZ61" s="131"/>
      <c r="BA61" s="131"/>
      <c r="BB61" s="131"/>
      <c r="BC61" s="131"/>
      <c r="BD61" s="131"/>
      <c r="BE61" s="132"/>
      <c r="BF61" s="132"/>
      <c r="BG61" s="132"/>
    </row>
    <row r="62" spans="2:59" x14ac:dyDescent="0.45">
      <c r="B62" s="131"/>
      <c r="C62" s="131"/>
      <c r="D62" s="131"/>
      <c r="E62" s="131"/>
      <c r="F62" s="131"/>
      <c r="G62" s="131"/>
      <c r="H62" s="131"/>
      <c r="I62" s="131"/>
      <c r="J62" s="139"/>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c r="AP62" s="131"/>
      <c r="AQ62" s="131"/>
      <c r="AR62" s="131"/>
      <c r="AS62" s="131"/>
      <c r="AT62" s="131"/>
      <c r="AU62" s="131"/>
      <c r="AV62" s="131"/>
      <c r="AW62" s="131"/>
      <c r="AX62" s="131"/>
      <c r="AY62" s="131"/>
      <c r="AZ62" s="131"/>
      <c r="BA62" s="131"/>
      <c r="BB62" s="131"/>
      <c r="BC62" s="131"/>
      <c r="BD62" s="131"/>
      <c r="BE62" s="132"/>
      <c r="BF62" s="132"/>
      <c r="BG62" s="132"/>
    </row>
    <row r="63" spans="2:59" x14ac:dyDescent="0.45">
      <c r="B63" s="131"/>
      <c r="C63" s="131"/>
      <c r="D63" s="131"/>
      <c r="E63" s="131"/>
      <c r="F63" s="131"/>
      <c r="G63" s="131"/>
      <c r="H63" s="131"/>
      <c r="I63" s="131"/>
      <c r="J63" s="139"/>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c r="AP63" s="131"/>
      <c r="AQ63" s="131"/>
      <c r="AR63" s="131"/>
      <c r="AS63" s="131"/>
      <c r="AT63" s="131"/>
      <c r="AU63" s="131"/>
      <c r="AV63" s="131"/>
      <c r="AW63" s="131"/>
      <c r="AX63" s="131"/>
      <c r="AY63" s="131"/>
      <c r="AZ63" s="131"/>
      <c r="BA63" s="131"/>
      <c r="BB63" s="131"/>
      <c r="BC63" s="131"/>
      <c r="BD63" s="131"/>
      <c r="BE63" s="132"/>
      <c r="BF63" s="132"/>
      <c r="BG63" s="132"/>
    </row>
    <row r="64" spans="2:59" x14ac:dyDescent="0.45">
      <c r="B64" s="131"/>
      <c r="C64" s="131"/>
      <c r="D64" s="131"/>
      <c r="E64" s="131"/>
      <c r="F64" s="131"/>
      <c r="G64" s="131"/>
      <c r="H64" s="131"/>
      <c r="I64" s="131"/>
      <c r="J64" s="139"/>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c r="AP64" s="131"/>
      <c r="AQ64" s="131"/>
      <c r="AR64" s="131"/>
      <c r="AS64" s="131"/>
      <c r="AT64" s="131"/>
      <c r="AU64" s="131"/>
      <c r="AV64" s="131"/>
      <c r="AW64" s="131"/>
      <c r="AX64" s="131"/>
      <c r="AY64" s="131"/>
      <c r="AZ64" s="131"/>
      <c r="BA64" s="131"/>
      <c r="BB64" s="131"/>
      <c r="BC64" s="131"/>
      <c r="BD64" s="131"/>
      <c r="BE64" s="132"/>
      <c r="BF64" s="132"/>
      <c r="BG64" s="132"/>
    </row>
    <row r="65" spans="2:59" x14ac:dyDescent="0.45">
      <c r="B65" s="131"/>
      <c r="C65" s="131"/>
      <c r="D65" s="131"/>
      <c r="E65" s="131"/>
      <c r="F65" s="131"/>
      <c r="G65" s="131"/>
      <c r="H65" s="131"/>
      <c r="I65" s="131"/>
      <c r="J65" s="139"/>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c r="AP65" s="131"/>
      <c r="AQ65" s="131"/>
      <c r="AR65" s="131"/>
      <c r="AS65" s="131"/>
      <c r="AT65" s="131"/>
      <c r="AU65" s="131"/>
      <c r="AV65" s="131"/>
      <c r="AW65" s="131"/>
      <c r="AX65" s="131"/>
      <c r="AY65" s="131"/>
      <c r="AZ65" s="131"/>
      <c r="BA65" s="131"/>
      <c r="BB65" s="131"/>
      <c r="BC65" s="131"/>
      <c r="BD65" s="131"/>
      <c r="BE65" s="132"/>
      <c r="BF65" s="132"/>
      <c r="BG65" s="132"/>
    </row>
    <row r="66" spans="2:59" x14ac:dyDescent="0.45">
      <c r="B66" s="131"/>
      <c r="C66" s="131"/>
      <c r="D66" s="131"/>
      <c r="E66" s="131"/>
      <c r="F66" s="131"/>
      <c r="G66" s="131"/>
      <c r="H66" s="131"/>
      <c r="I66" s="131"/>
      <c r="J66" s="139"/>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1"/>
      <c r="AM66" s="131"/>
      <c r="AN66" s="131"/>
      <c r="AO66" s="131"/>
      <c r="AP66" s="131"/>
      <c r="AQ66" s="131"/>
      <c r="AR66" s="131"/>
      <c r="AS66" s="131"/>
      <c r="AT66" s="131"/>
      <c r="AU66" s="131"/>
      <c r="AV66" s="131"/>
      <c r="AW66" s="131"/>
      <c r="AX66" s="131"/>
      <c r="AY66" s="131"/>
      <c r="AZ66" s="131"/>
      <c r="BA66" s="131"/>
      <c r="BB66" s="131"/>
      <c r="BC66" s="131"/>
      <c r="BD66" s="131"/>
      <c r="BE66" s="132"/>
      <c r="BF66" s="132"/>
      <c r="BG66" s="132"/>
    </row>
    <row r="67" spans="2:59" x14ac:dyDescent="0.45">
      <c r="B67" s="131"/>
      <c r="C67" s="131"/>
      <c r="D67" s="131"/>
      <c r="E67" s="131"/>
      <c r="F67" s="131"/>
      <c r="G67" s="131"/>
      <c r="H67" s="131"/>
      <c r="I67" s="131"/>
      <c r="J67" s="139"/>
      <c r="K67" s="131"/>
      <c r="L67" s="131"/>
      <c r="M67" s="131"/>
      <c r="N67" s="131"/>
      <c r="O67" s="131"/>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31"/>
      <c r="AP67" s="131"/>
      <c r="AQ67" s="131"/>
      <c r="AR67" s="131"/>
      <c r="AS67" s="131"/>
      <c r="AT67" s="131"/>
      <c r="AU67" s="131"/>
      <c r="AV67" s="131"/>
      <c r="AW67" s="131"/>
      <c r="AX67" s="131"/>
      <c r="AY67" s="131"/>
      <c r="AZ67" s="131"/>
      <c r="BA67" s="131"/>
      <c r="BB67" s="131"/>
      <c r="BC67" s="131"/>
      <c r="BD67" s="131"/>
      <c r="BE67" s="132"/>
      <c r="BF67" s="132"/>
      <c r="BG67" s="132"/>
    </row>
    <row r="68" spans="2:59" x14ac:dyDescent="0.45">
      <c r="B68" s="131"/>
      <c r="C68" s="131"/>
      <c r="D68" s="131"/>
      <c r="E68" s="131"/>
      <c r="F68" s="131"/>
      <c r="G68" s="131"/>
      <c r="H68" s="131"/>
      <c r="I68" s="131"/>
      <c r="J68" s="139"/>
      <c r="K68" s="131"/>
      <c r="L68" s="131"/>
      <c r="M68" s="13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c r="AP68" s="131"/>
      <c r="AQ68" s="131"/>
      <c r="AR68" s="131"/>
      <c r="AS68" s="131"/>
      <c r="AT68" s="131"/>
      <c r="AU68" s="131"/>
      <c r="AV68" s="131"/>
      <c r="AW68" s="131"/>
      <c r="AX68" s="131"/>
      <c r="AY68" s="131"/>
      <c r="AZ68" s="131"/>
      <c r="BA68" s="131"/>
      <c r="BB68" s="131"/>
      <c r="BC68" s="131"/>
      <c r="BD68" s="131"/>
      <c r="BE68" s="132"/>
      <c r="BF68" s="132"/>
      <c r="BG68" s="132"/>
    </row>
    <row r="69" spans="2:59" x14ac:dyDescent="0.45">
      <c r="B69" s="131"/>
      <c r="C69" s="131"/>
      <c r="D69" s="131"/>
      <c r="E69" s="131"/>
      <c r="F69" s="131"/>
      <c r="G69" s="131"/>
      <c r="H69" s="131"/>
      <c r="I69" s="131"/>
      <c r="J69" s="139"/>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c r="AP69" s="131"/>
      <c r="AQ69" s="131"/>
      <c r="AR69" s="131"/>
      <c r="AS69" s="131"/>
      <c r="AT69" s="131"/>
      <c r="AU69" s="131"/>
      <c r="AV69" s="131"/>
      <c r="AW69" s="131"/>
      <c r="AX69" s="131"/>
      <c r="AY69" s="131"/>
      <c r="AZ69" s="131"/>
      <c r="BA69" s="131"/>
      <c r="BB69" s="131"/>
      <c r="BC69" s="131"/>
      <c r="BD69" s="131"/>
      <c r="BE69" s="132"/>
      <c r="BF69" s="132"/>
      <c r="BG69" s="132"/>
    </row>
    <row r="70" spans="2:59" x14ac:dyDescent="0.45">
      <c r="B70" s="131"/>
      <c r="C70" s="131"/>
      <c r="D70" s="131"/>
      <c r="E70" s="131"/>
      <c r="F70" s="131"/>
      <c r="G70" s="131"/>
      <c r="H70" s="131"/>
      <c r="I70" s="131"/>
      <c r="J70" s="139"/>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c r="AP70" s="131"/>
      <c r="AQ70" s="131"/>
      <c r="AR70" s="131"/>
      <c r="AS70" s="131"/>
      <c r="AT70" s="131"/>
      <c r="AU70" s="131"/>
      <c r="AV70" s="131"/>
      <c r="AW70" s="131"/>
      <c r="AX70" s="131"/>
      <c r="AY70" s="131"/>
      <c r="AZ70" s="131"/>
      <c r="BA70" s="131"/>
      <c r="BB70" s="131"/>
      <c r="BC70" s="131"/>
      <c r="BD70" s="131"/>
      <c r="BE70" s="132"/>
      <c r="BF70" s="132"/>
      <c r="BG70" s="132"/>
    </row>
    <row r="71" spans="2:59" x14ac:dyDescent="0.45">
      <c r="B71" s="131"/>
      <c r="C71" s="131"/>
      <c r="D71" s="131"/>
      <c r="E71" s="131"/>
      <c r="F71" s="131"/>
      <c r="G71" s="131"/>
      <c r="H71" s="131"/>
      <c r="I71" s="131"/>
      <c r="J71" s="139"/>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c r="AP71" s="131"/>
      <c r="AQ71" s="131"/>
      <c r="AR71" s="131"/>
      <c r="AS71" s="131"/>
      <c r="AT71" s="131"/>
      <c r="AU71" s="131"/>
      <c r="AV71" s="131"/>
      <c r="AW71" s="131"/>
      <c r="AX71" s="131"/>
      <c r="AY71" s="131"/>
      <c r="AZ71" s="131"/>
      <c r="BA71" s="131"/>
      <c r="BB71" s="131"/>
      <c r="BC71" s="131"/>
      <c r="BD71" s="131"/>
      <c r="BE71" s="132"/>
      <c r="BF71" s="132"/>
      <c r="BG71" s="132"/>
    </row>
    <row r="72" spans="2:59" x14ac:dyDescent="0.45">
      <c r="B72" s="131"/>
      <c r="C72" s="131"/>
      <c r="D72" s="131"/>
      <c r="E72" s="131"/>
      <c r="F72" s="131"/>
      <c r="G72" s="131"/>
      <c r="H72" s="131"/>
      <c r="I72" s="131"/>
      <c r="J72" s="139"/>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c r="AP72" s="131"/>
      <c r="AQ72" s="131"/>
      <c r="AR72" s="131"/>
      <c r="AS72" s="131"/>
      <c r="AT72" s="131"/>
      <c r="AU72" s="131"/>
      <c r="AV72" s="131"/>
      <c r="AW72" s="131"/>
      <c r="AX72" s="131"/>
      <c r="AY72" s="131"/>
      <c r="AZ72" s="131"/>
      <c r="BA72" s="131"/>
      <c r="BB72" s="131"/>
      <c r="BC72" s="131"/>
      <c r="BD72" s="131"/>
      <c r="BE72" s="132"/>
      <c r="BF72" s="132"/>
      <c r="BG72" s="132"/>
    </row>
    <row r="73" spans="2:59" x14ac:dyDescent="0.45">
      <c r="B73" s="131"/>
      <c r="C73" s="131"/>
      <c r="D73" s="131"/>
      <c r="E73" s="131"/>
      <c r="F73" s="131"/>
      <c r="G73" s="131"/>
      <c r="H73" s="131"/>
      <c r="I73" s="131"/>
      <c r="J73" s="139"/>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c r="AP73" s="131"/>
      <c r="AQ73" s="131"/>
      <c r="AR73" s="131"/>
      <c r="AS73" s="131"/>
      <c r="AT73" s="131"/>
      <c r="AU73" s="131"/>
      <c r="AV73" s="131"/>
      <c r="AW73" s="131"/>
      <c r="AX73" s="131"/>
      <c r="AY73" s="131"/>
      <c r="AZ73" s="131"/>
      <c r="BA73" s="131"/>
      <c r="BB73" s="131"/>
      <c r="BC73" s="131"/>
      <c r="BD73" s="131"/>
      <c r="BE73" s="132"/>
      <c r="BF73" s="132"/>
      <c r="BG73" s="132"/>
    </row>
    <row r="74" spans="2:59" x14ac:dyDescent="0.45">
      <c r="B74" s="131"/>
      <c r="C74" s="131"/>
      <c r="D74" s="131"/>
      <c r="E74" s="131"/>
      <c r="F74" s="131"/>
      <c r="G74" s="131"/>
      <c r="H74" s="131"/>
      <c r="I74" s="131"/>
      <c r="J74" s="139"/>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c r="AP74" s="131"/>
      <c r="AQ74" s="131"/>
      <c r="AR74" s="131"/>
      <c r="AS74" s="131"/>
      <c r="AT74" s="131"/>
      <c r="AU74" s="131"/>
      <c r="AV74" s="131"/>
      <c r="AW74" s="131"/>
      <c r="AX74" s="131"/>
      <c r="AY74" s="131"/>
      <c r="AZ74" s="131"/>
      <c r="BA74" s="131"/>
      <c r="BB74" s="131"/>
      <c r="BC74" s="131"/>
      <c r="BD74" s="131"/>
      <c r="BE74" s="132"/>
      <c r="BF74" s="132"/>
      <c r="BG74" s="132"/>
    </row>
    <row r="75" spans="2:59" x14ac:dyDescent="0.45">
      <c r="B75" s="131"/>
      <c r="C75" s="131"/>
      <c r="D75" s="131"/>
      <c r="E75" s="131"/>
      <c r="F75" s="131"/>
      <c r="G75" s="131"/>
      <c r="H75" s="131"/>
      <c r="I75" s="131"/>
      <c r="J75" s="139"/>
      <c r="K75" s="131"/>
      <c r="L75" s="131"/>
      <c r="M75" s="131"/>
      <c r="N75" s="131"/>
      <c r="O75" s="131"/>
      <c r="P75" s="131"/>
      <c r="Q75" s="131"/>
      <c r="R75" s="131"/>
      <c r="S75" s="131"/>
      <c r="T75" s="131"/>
      <c r="U75" s="131"/>
      <c r="V75" s="131"/>
      <c r="W75" s="131"/>
      <c r="X75" s="131"/>
      <c r="Y75" s="131"/>
      <c r="Z75" s="131"/>
      <c r="AA75" s="131"/>
      <c r="AB75" s="131"/>
      <c r="AC75" s="131"/>
      <c r="AD75" s="131"/>
      <c r="AE75" s="131"/>
      <c r="AF75" s="131"/>
      <c r="AG75" s="131"/>
      <c r="AH75" s="131"/>
      <c r="AI75" s="131"/>
      <c r="AJ75" s="131"/>
      <c r="AK75" s="131"/>
      <c r="AL75" s="131"/>
      <c r="AM75" s="131"/>
      <c r="AN75" s="131"/>
      <c r="AO75" s="131"/>
      <c r="AP75" s="131"/>
      <c r="AQ75" s="131"/>
      <c r="AR75" s="131"/>
      <c r="AS75" s="131"/>
      <c r="AT75" s="131"/>
      <c r="AU75" s="131"/>
      <c r="AV75" s="131"/>
      <c r="AW75" s="131"/>
      <c r="AX75" s="131"/>
      <c r="AY75" s="131"/>
      <c r="AZ75" s="131"/>
      <c r="BA75" s="131"/>
      <c r="BB75" s="131"/>
      <c r="BC75" s="131"/>
      <c r="BD75" s="131"/>
      <c r="BE75" s="132"/>
      <c r="BF75" s="132"/>
      <c r="BG75" s="132"/>
    </row>
    <row r="76" spans="2:59" x14ac:dyDescent="0.45">
      <c r="B76" s="131"/>
      <c r="C76" s="131"/>
      <c r="D76" s="131"/>
      <c r="E76" s="131"/>
      <c r="F76" s="131"/>
      <c r="G76" s="131"/>
      <c r="H76" s="131"/>
      <c r="I76" s="131"/>
      <c r="J76" s="139"/>
      <c r="K76" s="131"/>
      <c r="L76" s="131"/>
      <c r="M76" s="13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c r="AP76" s="131"/>
      <c r="AQ76" s="131"/>
      <c r="AR76" s="131"/>
      <c r="AS76" s="131"/>
      <c r="AT76" s="131"/>
      <c r="AU76" s="131"/>
      <c r="AV76" s="131"/>
      <c r="AW76" s="131"/>
      <c r="AX76" s="131"/>
      <c r="AY76" s="131"/>
      <c r="AZ76" s="131"/>
      <c r="BA76" s="131"/>
      <c r="BB76" s="131"/>
      <c r="BC76" s="131"/>
      <c r="BD76" s="131"/>
      <c r="BE76" s="132"/>
      <c r="BF76" s="132"/>
      <c r="BG76" s="132"/>
    </row>
    <row r="77" spans="2:59" x14ac:dyDescent="0.45">
      <c r="B77" s="131"/>
      <c r="C77" s="131"/>
      <c r="D77" s="131"/>
      <c r="E77" s="131"/>
      <c r="F77" s="131"/>
      <c r="G77" s="131"/>
      <c r="H77" s="131"/>
      <c r="I77" s="131"/>
      <c r="J77" s="139"/>
      <c r="K77" s="131"/>
      <c r="L77" s="131"/>
      <c r="M77" s="131"/>
      <c r="N77" s="131"/>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c r="AP77" s="131"/>
      <c r="AQ77" s="131"/>
      <c r="AR77" s="131"/>
      <c r="AS77" s="131"/>
      <c r="AT77" s="131"/>
      <c r="AU77" s="131"/>
      <c r="AV77" s="131"/>
      <c r="AW77" s="131"/>
      <c r="AX77" s="131"/>
      <c r="AY77" s="131"/>
      <c r="AZ77" s="131"/>
      <c r="BA77" s="131"/>
      <c r="BB77" s="131"/>
      <c r="BC77" s="131"/>
      <c r="BD77" s="131"/>
      <c r="BE77" s="132"/>
      <c r="BF77" s="132"/>
      <c r="BG77" s="132"/>
    </row>
    <row r="78" spans="2:59" x14ac:dyDescent="0.45">
      <c r="B78" s="131"/>
      <c r="C78" s="131"/>
      <c r="D78" s="131"/>
      <c r="E78" s="131"/>
      <c r="F78" s="131"/>
      <c r="G78" s="131"/>
      <c r="H78" s="131"/>
      <c r="I78" s="131"/>
      <c r="J78" s="139"/>
      <c r="K78" s="131"/>
      <c r="L78" s="131"/>
      <c r="M78" s="131"/>
      <c r="N78" s="131"/>
      <c r="O78" s="131"/>
      <c r="P78" s="131"/>
      <c r="Q78" s="131"/>
      <c r="R78" s="131"/>
      <c r="S78" s="131"/>
      <c r="T78" s="131"/>
      <c r="U78" s="131"/>
      <c r="V78" s="131"/>
      <c r="W78" s="131"/>
      <c r="X78" s="131"/>
      <c r="Y78" s="131"/>
      <c r="Z78" s="131"/>
      <c r="AA78" s="131"/>
      <c r="AB78" s="131"/>
      <c r="AC78" s="131"/>
      <c r="AD78" s="131"/>
      <c r="AE78" s="131"/>
      <c r="AF78" s="131"/>
      <c r="AG78" s="131"/>
      <c r="AH78" s="131"/>
      <c r="AI78" s="131"/>
      <c r="AJ78" s="131"/>
      <c r="AK78" s="131"/>
      <c r="AL78" s="131"/>
      <c r="AM78" s="131"/>
      <c r="AN78" s="131"/>
      <c r="AO78" s="131"/>
      <c r="AP78" s="131"/>
      <c r="AQ78" s="131"/>
      <c r="AR78" s="131"/>
      <c r="AS78" s="131"/>
      <c r="AT78" s="131"/>
      <c r="AU78" s="131"/>
      <c r="AV78" s="131"/>
      <c r="AW78" s="131"/>
      <c r="AX78" s="131"/>
      <c r="AY78" s="131"/>
      <c r="AZ78" s="131"/>
      <c r="BA78" s="131"/>
      <c r="BB78" s="131"/>
      <c r="BC78" s="131"/>
      <c r="BD78" s="131"/>
      <c r="BE78" s="132"/>
      <c r="BF78" s="132"/>
      <c r="BG78" s="132"/>
    </row>
    <row r="79" spans="2:59" x14ac:dyDescent="0.45">
      <c r="B79" s="131"/>
      <c r="C79" s="131"/>
      <c r="D79" s="131"/>
      <c r="E79" s="131"/>
      <c r="F79" s="131"/>
      <c r="G79" s="131"/>
      <c r="H79" s="131"/>
      <c r="I79" s="131"/>
      <c r="J79" s="139"/>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c r="AP79" s="131"/>
      <c r="AQ79" s="131"/>
      <c r="AR79" s="131"/>
      <c r="AS79" s="131"/>
      <c r="AT79" s="131"/>
      <c r="AU79" s="131"/>
      <c r="AV79" s="131"/>
      <c r="AW79" s="131"/>
      <c r="AX79" s="131"/>
      <c r="AY79" s="131"/>
      <c r="AZ79" s="131"/>
      <c r="BA79" s="131"/>
      <c r="BB79" s="131"/>
      <c r="BC79" s="131"/>
      <c r="BD79" s="131"/>
      <c r="BE79" s="132"/>
      <c r="BF79" s="132"/>
      <c r="BG79" s="132"/>
    </row>
    <row r="80" spans="2:59" x14ac:dyDescent="0.45">
      <c r="B80" s="131"/>
      <c r="C80" s="131"/>
      <c r="D80" s="131"/>
      <c r="E80" s="131"/>
      <c r="F80" s="131"/>
      <c r="G80" s="131"/>
      <c r="H80" s="131"/>
      <c r="I80" s="131"/>
      <c r="J80" s="139"/>
      <c r="K80" s="131"/>
      <c r="L80" s="131"/>
      <c r="M80" s="13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2"/>
      <c r="BF80" s="132"/>
      <c r="BG80" s="132"/>
    </row>
    <row r="81" spans="2:59" x14ac:dyDescent="0.45">
      <c r="B81" s="131"/>
      <c r="C81" s="131"/>
      <c r="D81" s="131"/>
      <c r="E81" s="131"/>
      <c r="F81" s="131"/>
      <c r="G81" s="131"/>
      <c r="H81" s="131"/>
      <c r="I81" s="131"/>
      <c r="J81" s="139"/>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c r="AI81" s="131"/>
      <c r="AJ81" s="131"/>
      <c r="AK81" s="131"/>
      <c r="AL81" s="131"/>
      <c r="AM81" s="131"/>
      <c r="AN81" s="131"/>
      <c r="AO81" s="131"/>
      <c r="AP81" s="131"/>
      <c r="AQ81" s="131"/>
      <c r="AR81" s="131"/>
      <c r="AS81" s="131"/>
      <c r="AT81" s="131"/>
      <c r="AU81" s="131"/>
      <c r="AV81" s="131"/>
      <c r="AW81" s="131"/>
      <c r="AX81" s="131"/>
      <c r="AY81" s="131"/>
      <c r="AZ81" s="131"/>
      <c r="BA81" s="131"/>
      <c r="BB81" s="131"/>
      <c r="BC81" s="131"/>
      <c r="BD81" s="131"/>
      <c r="BE81" s="132"/>
      <c r="BF81" s="132"/>
      <c r="BG81" s="132"/>
    </row>
    <row r="82" spans="2:59" x14ac:dyDescent="0.45">
      <c r="B82" s="131"/>
      <c r="C82" s="131"/>
      <c r="D82" s="131"/>
      <c r="E82" s="131"/>
      <c r="F82" s="131"/>
      <c r="G82" s="131"/>
      <c r="H82" s="131"/>
      <c r="I82" s="131"/>
      <c r="J82" s="139"/>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c r="AP82" s="131"/>
      <c r="AQ82" s="131"/>
      <c r="AR82" s="131"/>
      <c r="AS82" s="131"/>
      <c r="AT82" s="131"/>
      <c r="AU82" s="131"/>
      <c r="AV82" s="131"/>
      <c r="AW82" s="131"/>
      <c r="AX82" s="131"/>
      <c r="AY82" s="131"/>
      <c r="AZ82" s="131"/>
      <c r="BA82" s="131"/>
      <c r="BB82" s="131"/>
      <c r="BC82" s="131"/>
      <c r="BD82" s="131"/>
      <c r="BE82" s="132"/>
      <c r="BF82" s="132"/>
      <c r="BG82" s="132"/>
    </row>
    <row r="83" spans="2:59" x14ac:dyDescent="0.45">
      <c r="B83" s="131"/>
      <c r="C83" s="131"/>
      <c r="D83" s="131"/>
      <c r="E83" s="131"/>
      <c r="F83" s="131"/>
      <c r="G83" s="131"/>
      <c r="H83" s="131"/>
      <c r="I83" s="131"/>
      <c r="J83" s="139"/>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c r="AP83" s="131"/>
      <c r="AQ83" s="131"/>
      <c r="AR83" s="131"/>
      <c r="AS83" s="131"/>
      <c r="AT83" s="131"/>
      <c r="AU83" s="131"/>
      <c r="AV83" s="131"/>
      <c r="AW83" s="131"/>
      <c r="AX83" s="131"/>
      <c r="AY83" s="131"/>
      <c r="AZ83" s="131"/>
      <c r="BA83" s="131"/>
      <c r="BB83" s="131"/>
      <c r="BC83" s="131"/>
      <c r="BD83" s="131"/>
      <c r="BE83" s="132"/>
      <c r="BF83" s="132"/>
      <c r="BG83" s="132"/>
    </row>
    <row r="84" spans="2:59" x14ac:dyDescent="0.45">
      <c r="B84" s="131"/>
      <c r="C84" s="131"/>
      <c r="D84" s="131"/>
      <c r="E84" s="131"/>
      <c r="F84" s="131"/>
      <c r="G84" s="131"/>
      <c r="H84" s="131"/>
      <c r="I84" s="131"/>
      <c r="J84" s="139"/>
      <c r="K84" s="131"/>
      <c r="L84" s="131"/>
      <c r="M84" s="13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c r="AO84" s="131"/>
      <c r="AP84" s="131"/>
      <c r="AQ84" s="131"/>
      <c r="AR84" s="131"/>
      <c r="AS84" s="131"/>
      <c r="AT84" s="131"/>
      <c r="AU84" s="131"/>
      <c r="AV84" s="131"/>
      <c r="AW84" s="131"/>
      <c r="AX84" s="131"/>
      <c r="AY84" s="131"/>
      <c r="AZ84" s="131"/>
      <c r="BA84" s="131"/>
      <c r="BB84" s="131"/>
      <c r="BC84" s="131"/>
      <c r="BD84" s="131"/>
      <c r="BE84" s="132"/>
      <c r="BF84" s="132"/>
      <c r="BG84" s="132"/>
    </row>
    <row r="85" spans="2:59" x14ac:dyDescent="0.45">
      <c r="B85" s="131"/>
      <c r="C85" s="131"/>
      <c r="D85" s="131"/>
      <c r="E85" s="131"/>
      <c r="F85" s="131"/>
      <c r="G85" s="131"/>
      <c r="H85" s="131"/>
      <c r="I85" s="131"/>
      <c r="J85" s="139"/>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131"/>
      <c r="AO85" s="131"/>
      <c r="AP85" s="131"/>
      <c r="AQ85" s="131"/>
      <c r="AR85" s="131"/>
      <c r="AS85" s="131"/>
      <c r="AT85" s="131"/>
      <c r="AU85" s="131"/>
      <c r="AV85" s="131"/>
      <c r="AW85" s="131"/>
      <c r="AX85" s="131"/>
      <c r="AY85" s="131"/>
      <c r="AZ85" s="131"/>
      <c r="BA85" s="131"/>
      <c r="BB85" s="131"/>
      <c r="BC85" s="131"/>
      <c r="BD85" s="131"/>
      <c r="BE85" s="132"/>
      <c r="BF85" s="132"/>
      <c r="BG85" s="132"/>
    </row>
    <row r="86" spans="2:59" x14ac:dyDescent="0.45">
      <c r="B86" s="131"/>
      <c r="C86" s="131"/>
      <c r="D86" s="131"/>
      <c r="E86" s="131"/>
      <c r="F86" s="131"/>
      <c r="G86" s="131"/>
      <c r="H86" s="131"/>
      <c r="I86" s="131"/>
      <c r="J86" s="139"/>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31"/>
      <c r="AP86" s="131"/>
      <c r="AQ86" s="131"/>
      <c r="AR86" s="131"/>
      <c r="AS86" s="131"/>
      <c r="AT86" s="131"/>
      <c r="AU86" s="131"/>
      <c r="AV86" s="131"/>
      <c r="AW86" s="131"/>
      <c r="AX86" s="131"/>
      <c r="AY86" s="131"/>
      <c r="AZ86" s="131"/>
      <c r="BA86" s="131"/>
      <c r="BB86" s="131"/>
      <c r="BC86" s="131"/>
      <c r="BD86" s="131"/>
      <c r="BE86" s="132"/>
      <c r="BF86" s="132"/>
      <c r="BG86" s="132"/>
    </row>
    <row r="87" spans="2:59" x14ac:dyDescent="0.45">
      <c r="B87" s="131"/>
      <c r="C87" s="131"/>
      <c r="D87" s="131"/>
      <c r="E87" s="131"/>
      <c r="F87" s="131"/>
      <c r="G87" s="131"/>
      <c r="H87" s="131"/>
      <c r="I87" s="131"/>
      <c r="J87" s="139"/>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31"/>
      <c r="AP87" s="131"/>
      <c r="AQ87" s="131"/>
      <c r="AR87" s="131"/>
      <c r="AS87" s="131"/>
      <c r="AT87" s="131"/>
      <c r="AU87" s="131"/>
      <c r="AV87" s="131"/>
      <c r="AW87" s="131"/>
      <c r="AX87" s="131"/>
      <c r="AY87" s="131"/>
      <c r="AZ87" s="131"/>
      <c r="BA87" s="131"/>
      <c r="BB87" s="131"/>
      <c r="BC87" s="131"/>
      <c r="BD87" s="131"/>
      <c r="BE87" s="132"/>
      <c r="BF87" s="132"/>
      <c r="BG87" s="132"/>
    </row>
    <row r="88" spans="2:59" x14ac:dyDescent="0.45">
      <c r="B88" s="131"/>
      <c r="C88" s="131"/>
      <c r="D88" s="131"/>
      <c r="E88" s="131"/>
      <c r="F88" s="131"/>
      <c r="G88" s="131"/>
      <c r="H88" s="131"/>
      <c r="I88" s="131"/>
      <c r="J88" s="139"/>
      <c r="K88" s="131"/>
      <c r="L88" s="131"/>
      <c r="M88" s="131"/>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c r="AP88" s="131"/>
      <c r="AQ88" s="131"/>
      <c r="AR88" s="131"/>
      <c r="AS88" s="131"/>
      <c r="AT88" s="131"/>
      <c r="AU88" s="131"/>
      <c r="AV88" s="131"/>
      <c r="AW88" s="131"/>
      <c r="AX88" s="131"/>
      <c r="AY88" s="131"/>
      <c r="AZ88" s="131"/>
      <c r="BA88" s="131"/>
      <c r="BB88" s="131"/>
      <c r="BC88" s="131"/>
      <c r="BD88" s="131"/>
      <c r="BE88" s="132"/>
      <c r="BF88" s="132"/>
      <c r="BG88" s="132"/>
    </row>
    <row r="89" spans="2:59" x14ac:dyDescent="0.45">
      <c r="B89" s="131"/>
      <c r="C89" s="131"/>
      <c r="D89" s="131"/>
      <c r="E89" s="131"/>
      <c r="F89" s="131"/>
      <c r="G89" s="131"/>
      <c r="H89" s="131"/>
      <c r="I89" s="131"/>
      <c r="J89" s="139"/>
      <c r="K89" s="131"/>
      <c r="L89" s="131"/>
      <c r="M89" s="131"/>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c r="AL89" s="131"/>
      <c r="AM89" s="131"/>
      <c r="AN89" s="131"/>
      <c r="AO89" s="131"/>
      <c r="AP89" s="131"/>
      <c r="AQ89" s="131"/>
      <c r="AR89" s="131"/>
      <c r="AS89" s="131"/>
      <c r="AT89" s="131"/>
      <c r="AU89" s="131"/>
      <c r="AV89" s="131"/>
      <c r="AW89" s="131"/>
      <c r="AX89" s="131"/>
      <c r="AY89" s="131"/>
      <c r="AZ89" s="131"/>
      <c r="BA89" s="131"/>
      <c r="BB89" s="131"/>
      <c r="BC89" s="131"/>
      <c r="BD89" s="131"/>
      <c r="BE89" s="132"/>
      <c r="BF89" s="132"/>
      <c r="BG89" s="132"/>
    </row>
    <row r="90" spans="2:59" x14ac:dyDescent="0.45">
      <c r="B90" s="131"/>
      <c r="C90" s="131"/>
      <c r="D90" s="131"/>
      <c r="E90" s="131"/>
      <c r="F90" s="131"/>
      <c r="G90" s="131"/>
      <c r="H90" s="131"/>
      <c r="I90" s="131"/>
      <c r="J90" s="139"/>
      <c r="K90" s="131"/>
      <c r="L90" s="131"/>
      <c r="M90" s="131"/>
      <c r="N90" s="131"/>
      <c r="O90" s="131"/>
      <c r="P90" s="131"/>
      <c r="Q90" s="131"/>
      <c r="R90" s="131"/>
      <c r="S90" s="131"/>
      <c r="T90" s="131"/>
      <c r="U90" s="131"/>
      <c r="V90" s="131"/>
      <c r="W90" s="131"/>
      <c r="X90" s="131"/>
      <c r="Y90" s="131"/>
      <c r="Z90" s="131"/>
      <c r="AA90" s="131"/>
      <c r="AB90" s="131"/>
      <c r="AC90" s="131"/>
      <c r="AD90" s="131"/>
      <c r="AE90" s="131"/>
      <c r="AF90" s="131"/>
      <c r="AG90" s="131"/>
      <c r="AH90" s="131"/>
      <c r="AI90" s="131"/>
      <c r="AJ90" s="131"/>
      <c r="AK90" s="131"/>
      <c r="AL90" s="131"/>
      <c r="AM90" s="131"/>
      <c r="AN90" s="131"/>
      <c r="AO90" s="131"/>
      <c r="AP90" s="131"/>
      <c r="AQ90" s="131"/>
      <c r="AR90" s="131"/>
      <c r="AS90" s="131"/>
      <c r="AT90" s="131"/>
      <c r="AU90" s="131"/>
      <c r="AV90" s="131"/>
      <c r="AW90" s="131"/>
      <c r="AX90" s="131"/>
      <c r="AY90" s="131"/>
      <c r="AZ90" s="131"/>
      <c r="BA90" s="131"/>
      <c r="BB90" s="131"/>
      <c r="BC90" s="131"/>
      <c r="BD90" s="131"/>
      <c r="BE90" s="132"/>
      <c r="BF90" s="132"/>
      <c r="BG90" s="132"/>
    </row>
    <row r="91" spans="2:59" x14ac:dyDescent="0.45">
      <c r="B91" s="131"/>
      <c r="C91" s="131"/>
      <c r="D91" s="131"/>
      <c r="E91" s="131"/>
      <c r="F91" s="131"/>
      <c r="G91" s="131"/>
      <c r="H91" s="131"/>
      <c r="I91" s="131"/>
      <c r="J91" s="139"/>
      <c r="K91" s="131"/>
      <c r="L91" s="131"/>
      <c r="M91" s="131"/>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c r="AP91" s="131"/>
      <c r="AQ91" s="131"/>
      <c r="AR91" s="131"/>
      <c r="AS91" s="131"/>
      <c r="AT91" s="131"/>
      <c r="AU91" s="131"/>
      <c r="AV91" s="131"/>
      <c r="AW91" s="131"/>
      <c r="AX91" s="131"/>
      <c r="AY91" s="131"/>
      <c r="AZ91" s="131"/>
      <c r="BA91" s="131"/>
      <c r="BB91" s="131"/>
      <c r="BC91" s="131"/>
      <c r="BD91" s="131"/>
      <c r="BE91" s="132"/>
      <c r="BF91" s="132"/>
      <c r="BG91" s="132"/>
    </row>
    <row r="92" spans="2:59" x14ac:dyDescent="0.45">
      <c r="B92" s="131"/>
      <c r="C92" s="131"/>
      <c r="D92" s="131"/>
      <c r="E92" s="131"/>
      <c r="F92" s="131"/>
      <c r="G92" s="131"/>
      <c r="H92" s="131"/>
      <c r="I92" s="131"/>
      <c r="J92" s="139"/>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c r="AP92" s="131"/>
      <c r="AQ92" s="131"/>
      <c r="AR92" s="131"/>
      <c r="AS92" s="131"/>
      <c r="AT92" s="131"/>
      <c r="AU92" s="131"/>
      <c r="AV92" s="131"/>
      <c r="AW92" s="131"/>
      <c r="AX92" s="131"/>
      <c r="AY92" s="131"/>
      <c r="AZ92" s="131"/>
      <c r="BA92" s="131"/>
      <c r="BB92" s="131"/>
      <c r="BC92" s="131"/>
      <c r="BD92" s="131"/>
      <c r="BE92" s="132"/>
      <c r="BF92" s="132"/>
      <c r="BG92" s="132"/>
    </row>
    <row r="93" spans="2:59" x14ac:dyDescent="0.45">
      <c r="B93" s="131"/>
      <c r="C93" s="131"/>
      <c r="D93" s="131"/>
      <c r="E93" s="131"/>
      <c r="F93" s="131"/>
      <c r="G93" s="131"/>
      <c r="H93" s="131"/>
      <c r="I93" s="131"/>
      <c r="J93" s="139"/>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c r="AP93" s="131"/>
      <c r="AQ93" s="131"/>
      <c r="AR93" s="131"/>
      <c r="AS93" s="131"/>
      <c r="AT93" s="131"/>
      <c r="AU93" s="131"/>
      <c r="AV93" s="131"/>
      <c r="AW93" s="131"/>
      <c r="AX93" s="131"/>
      <c r="AY93" s="131"/>
      <c r="AZ93" s="131"/>
      <c r="BA93" s="131"/>
      <c r="BB93" s="131"/>
      <c r="BC93" s="131"/>
      <c r="BD93" s="131"/>
      <c r="BE93" s="132"/>
      <c r="BF93" s="132"/>
      <c r="BG93" s="132"/>
    </row>
    <row r="94" spans="2:59" x14ac:dyDescent="0.45">
      <c r="B94" s="131"/>
      <c r="C94" s="131"/>
      <c r="D94" s="131"/>
      <c r="E94" s="131"/>
      <c r="F94" s="131"/>
      <c r="G94" s="131"/>
      <c r="H94" s="131"/>
      <c r="I94" s="131"/>
      <c r="J94" s="139"/>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c r="AP94" s="131"/>
      <c r="AQ94" s="131"/>
      <c r="AR94" s="131"/>
      <c r="AS94" s="131"/>
      <c r="AT94" s="131"/>
      <c r="AU94" s="131"/>
      <c r="AV94" s="131"/>
      <c r="AW94" s="131"/>
      <c r="AX94" s="131"/>
      <c r="AY94" s="131"/>
      <c r="AZ94" s="131"/>
      <c r="BA94" s="131"/>
      <c r="BB94" s="131"/>
      <c r="BC94" s="131"/>
      <c r="BD94" s="131"/>
      <c r="BE94" s="132"/>
      <c r="BF94" s="132"/>
      <c r="BG94" s="132"/>
    </row>
    <row r="95" spans="2:59" x14ac:dyDescent="0.45">
      <c r="B95" s="131"/>
      <c r="C95" s="131"/>
      <c r="D95" s="131"/>
      <c r="E95" s="131"/>
      <c r="F95" s="131"/>
      <c r="G95" s="131"/>
      <c r="H95" s="131"/>
      <c r="I95" s="131"/>
      <c r="J95" s="139"/>
      <c r="K95" s="131"/>
      <c r="L95" s="131"/>
      <c r="M95" s="131"/>
      <c r="N95" s="131"/>
      <c r="O95" s="131"/>
      <c r="P95" s="131"/>
      <c r="Q95" s="131"/>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c r="AO95" s="131"/>
      <c r="AP95" s="131"/>
      <c r="AQ95" s="131"/>
      <c r="AR95" s="131"/>
      <c r="AS95" s="131"/>
      <c r="AT95" s="131"/>
      <c r="AU95" s="131"/>
      <c r="AV95" s="131"/>
      <c r="AW95" s="131"/>
      <c r="AX95" s="131"/>
      <c r="AY95" s="131"/>
      <c r="AZ95" s="131"/>
      <c r="BA95" s="131"/>
      <c r="BB95" s="131"/>
      <c r="BC95" s="131"/>
      <c r="BD95" s="131"/>
      <c r="BE95" s="132"/>
      <c r="BF95" s="132"/>
      <c r="BG95" s="132"/>
    </row>
    <row r="96" spans="2:59" x14ac:dyDescent="0.45">
      <c r="B96" s="131"/>
      <c r="C96" s="131"/>
      <c r="D96" s="131"/>
      <c r="E96" s="131"/>
      <c r="F96" s="131"/>
      <c r="G96" s="131"/>
      <c r="H96" s="131"/>
      <c r="I96" s="131"/>
      <c r="J96" s="139"/>
      <c r="K96" s="131"/>
      <c r="L96" s="131"/>
      <c r="M96" s="131"/>
      <c r="N96" s="131"/>
      <c r="O96" s="131"/>
      <c r="P96" s="131"/>
      <c r="Q96" s="131"/>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31"/>
      <c r="AP96" s="131"/>
      <c r="AQ96" s="131"/>
      <c r="AR96" s="131"/>
      <c r="AS96" s="131"/>
      <c r="AT96" s="131"/>
      <c r="AU96" s="131"/>
      <c r="AV96" s="131"/>
      <c r="AW96" s="131"/>
      <c r="AX96" s="131"/>
      <c r="AY96" s="131"/>
      <c r="AZ96" s="131"/>
      <c r="BA96" s="131"/>
      <c r="BB96" s="131"/>
      <c r="BC96" s="131"/>
      <c r="BD96" s="131"/>
      <c r="BE96" s="132"/>
      <c r="BF96" s="132"/>
      <c r="BG96" s="132"/>
    </row>
    <row r="97" spans="2:59" x14ac:dyDescent="0.45">
      <c r="B97" s="131"/>
      <c r="C97" s="131"/>
      <c r="D97" s="131"/>
      <c r="E97" s="131"/>
      <c r="F97" s="131"/>
      <c r="G97" s="131"/>
      <c r="H97" s="131"/>
      <c r="I97" s="131"/>
      <c r="J97" s="139"/>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c r="AP97" s="131"/>
      <c r="AQ97" s="131"/>
      <c r="AR97" s="131"/>
      <c r="AS97" s="131"/>
      <c r="AT97" s="131"/>
      <c r="AU97" s="131"/>
      <c r="AV97" s="131"/>
      <c r="AW97" s="131"/>
      <c r="AX97" s="131"/>
      <c r="AY97" s="131"/>
      <c r="AZ97" s="131"/>
      <c r="BA97" s="131"/>
      <c r="BB97" s="131"/>
      <c r="BC97" s="131"/>
      <c r="BD97" s="131"/>
      <c r="BE97" s="132"/>
      <c r="BF97" s="132"/>
      <c r="BG97" s="132"/>
    </row>
    <row r="98" spans="2:59" x14ac:dyDescent="0.45">
      <c r="B98" s="131"/>
      <c r="C98" s="131"/>
      <c r="D98" s="131"/>
      <c r="E98" s="131"/>
      <c r="F98" s="131"/>
      <c r="G98" s="131"/>
      <c r="H98" s="131"/>
      <c r="I98" s="131"/>
      <c r="J98" s="139"/>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c r="AP98" s="131"/>
      <c r="AQ98" s="131"/>
      <c r="AR98" s="131"/>
      <c r="AS98" s="131"/>
      <c r="AT98" s="131"/>
      <c r="AU98" s="131"/>
      <c r="AV98" s="131"/>
      <c r="AW98" s="131"/>
      <c r="AX98" s="131"/>
      <c r="AY98" s="131"/>
      <c r="AZ98" s="131"/>
      <c r="BA98" s="131"/>
      <c r="BB98" s="131"/>
      <c r="BC98" s="131"/>
      <c r="BD98" s="131"/>
      <c r="BE98" s="132"/>
      <c r="BF98" s="132"/>
      <c r="BG98" s="132"/>
    </row>
    <row r="99" spans="2:59" x14ac:dyDescent="0.45">
      <c r="B99" s="131"/>
      <c r="C99" s="131"/>
      <c r="D99" s="131"/>
      <c r="E99" s="131"/>
      <c r="F99" s="131"/>
      <c r="G99" s="131"/>
      <c r="H99" s="131"/>
      <c r="I99" s="131"/>
      <c r="J99" s="139"/>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1"/>
      <c r="AH99" s="131"/>
      <c r="AI99" s="131"/>
      <c r="AJ99" s="131"/>
      <c r="AK99" s="131"/>
      <c r="AL99" s="131"/>
      <c r="AM99" s="131"/>
      <c r="AN99" s="131"/>
      <c r="AO99" s="131"/>
      <c r="AP99" s="131"/>
      <c r="AQ99" s="131"/>
      <c r="AR99" s="131"/>
      <c r="AS99" s="131"/>
      <c r="AT99" s="131"/>
      <c r="AU99" s="131"/>
      <c r="AV99" s="131"/>
      <c r="AW99" s="131"/>
      <c r="AX99" s="131"/>
      <c r="AY99" s="131"/>
      <c r="AZ99" s="131"/>
      <c r="BA99" s="131"/>
      <c r="BB99" s="131"/>
      <c r="BC99" s="131"/>
      <c r="BD99" s="131"/>
      <c r="BE99" s="132"/>
      <c r="BF99" s="132"/>
      <c r="BG99" s="132"/>
    </row>
    <row r="100" spans="2:59" x14ac:dyDescent="0.45">
      <c r="B100" s="131"/>
      <c r="C100" s="131"/>
      <c r="D100" s="131"/>
      <c r="E100" s="131"/>
      <c r="F100" s="131"/>
      <c r="G100" s="131"/>
      <c r="H100" s="131"/>
      <c r="I100" s="131"/>
      <c r="J100" s="139"/>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c r="AP100" s="131"/>
      <c r="AQ100" s="131"/>
      <c r="AR100" s="131"/>
      <c r="AS100" s="131"/>
      <c r="AT100" s="131"/>
      <c r="AU100" s="131"/>
      <c r="AV100" s="131"/>
      <c r="AW100" s="131"/>
      <c r="AX100" s="131"/>
      <c r="AY100" s="131"/>
      <c r="AZ100" s="131"/>
      <c r="BA100" s="131"/>
      <c r="BB100" s="131"/>
      <c r="BC100" s="131"/>
      <c r="BD100" s="131"/>
      <c r="BE100" s="132"/>
      <c r="BF100" s="132"/>
      <c r="BG100" s="132"/>
    </row>
    <row r="101" spans="2:59" x14ac:dyDescent="0.45">
      <c r="B101" s="131"/>
      <c r="C101" s="131"/>
      <c r="D101" s="131"/>
      <c r="E101" s="131"/>
      <c r="F101" s="131"/>
      <c r="G101" s="131"/>
      <c r="H101" s="131"/>
      <c r="I101" s="131"/>
      <c r="J101" s="139"/>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2"/>
      <c r="BF101" s="132"/>
      <c r="BG101" s="132"/>
    </row>
    <row r="102" spans="2:59" x14ac:dyDescent="0.45">
      <c r="B102" s="131"/>
      <c r="C102" s="131"/>
      <c r="D102" s="131"/>
      <c r="E102" s="131"/>
      <c r="F102" s="131"/>
      <c r="G102" s="131"/>
      <c r="H102" s="131"/>
      <c r="I102" s="131"/>
      <c r="J102" s="139"/>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c r="AP102" s="131"/>
      <c r="AQ102" s="131"/>
      <c r="AR102" s="131"/>
      <c r="AS102" s="131"/>
      <c r="AT102" s="131"/>
      <c r="AU102" s="131"/>
      <c r="AV102" s="131"/>
      <c r="AW102" s="131"/>
      <c r="AX102" s="131"/>
      <c r="AY102" s="131"/>
      <c r="AZ102" s="131"/>
      <c r="BA102" s="131"/>
      <c r="BB102" s="131"/>
      <c r="BC102" s="131"/>
      <c r="BD102" s="131"/>
      <c r="BE102" s="132"/>
      <c r="BF102" s="132"/>
      <c r="BG102" s="132"/>
    </row>
    <row r="103" spans="2:59" x14ac:dyDescent="0.45">
      <c r="B103" s="131"/>
      <c r="C103" s="131"/>
      <c r="D103" s="131"/>
      <c r="E103" s="131"/>
      <c r="F103" s="131"/>
      <c r="G103" s="131"/>
      <c r="H103" s="131"/>
      <c r="I103" s="131"/>
      <c r="J103" s="139"/>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c r="AP103" s="131"/>
      <c r="AQ103" s="131"/>
      <c r="AR103" s="131"/>
      <c r="AS103" s="131"/>
      <c r="AT103" s="131"/>
      <c r="AU103" s="131"/>
      <c r="AV103" s="131"/>
      <c r="AW103" s="131"/>
      <c r="AX103" s="131"/>
      <c r="AY103" s="131"/>
      <c r="AZ103" s="131"/>
      <c r="BA103" s="131"/>
      <c r="BB103" s="131"/>
      <c r="BC103" s="131"/>
      <c r="BD103" s="131"/>
      <c r="BE103" s="132"/>
      <c r="BF103" s="132"/>
      <c r="BG103" s="132"/>
    </row>
    <row r="104" spans="2:59" x14ac:dyDescent="0.45">
      <c r="B104" s="131"/>
      <c r="C104" s="131"/>
      <c r="D104" s="131"/>
      <c r="E104" s="131"/>
      <c r="F104" s="131"/>
      <c r="G104" s="131"/>
      <c r="H104" s="131"/>
      <c r="I104" s="131"/>
      <c r="J104" s="139"/>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c r="AP104" s="131"/>
      <c r="AQ104" s="131"/>
      <c r="AR104" s="131"/>
      <c r="AS104" s="131"/>
      <c r="AT104" s="131"/>
      <c r="AU104" s="131"/>
      <c r="AV104" s="131"/>
      <c r="AW104" s="131"/>
      <c r="AX104" s="131"/>
      <c r="AY104" s="131"/>
      <c r="AZ104" s="131"/>
      <c r="BA104" s="131"/>
      <c r="BB104" s="131"/>
      <c r="BC104" s="131"/>
      <c r="BD104" s="131"/>
      <c r="BE104" s="132"/>
      <c r="BF104" s="132"/>
      <c r="BG104" s="132"/>
    </row>
    <row r="105" spans="2:59" x14ac:dyDescent="0.45">
      <c r="B105" s="131"/>
      <c r="C105" s="131"/>
      <c r="D105" s="131"/>
      <c r="E105" s="131"/>
      <c r="F105" s="131"/>
      <c r="G105" s="131"/>
      <c r="H105" s="131"/>
      <c r="I105" s="131"/>
      <c r="J105" s="139"/>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c r="AP105" s="131"/>
      <c r="AQ105" s="131"/>
      <c r="AR105" s="131"/>
      <c r="AS105" s="131"/>
      <c r="AT105" s="131"/>
      <c r="AU105" s="131"/>
      <c r="AV105" s="131"/>
      <c r="AW105" s="131"/>
      <c r="AX105" s="131"/>
      <c r="AY105" s="131"/>
      <c r="AZ105" s="131"/>
      <c r="BA105" s="131"/>
      <c r="BB105" s="131"/>
      <c r="BC105" s="131"/>
      <c r="BD105" s="131"/>
      <c r="BE105" s="132"/>
      <c r="BF105" s="132"/>
      <c r="BG105" s="132"/>
    </row>
    <row r="106" spans="2:59" x14ac:dyDescent="0.45">
      <c r="B106" s="131"/>
      <c r="C106" s="131"/>
      <c r="D106" s="131"/>
      <c r="E106" s="131"/>
      <c r="F106" s="131"/>
      <c r="G106" s="131"/>
      <c r="H106" s="131"/>
      <c r="I106" s="131"/>
      <c r="J106" s="139"/>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c r="AP106" s="131"/>
      <c r="AQ106" s="131"/>
      <c r="AR106" s="131"/>
      <c r="AS106" s="131"/>
      <c r="AT106" s="131"/>
      <c r="AU106" s="131"/>
      <c r="AV106" s="131"/>
      <c r="AW106" s="131"/>
      <c r="AX106" s="131"/>
      <c r="AY106" s="131"/>
      <c r="AZ106" s="131"/>
      <c r="BA106" s="131"/>
      <c r="BB106" s="131"/>
      <c r="BC106" s="131"/>
      <c r="BD106" s="131"/>
      <c r="BE106" s="132"/>
      <c r="BF106" s="132"/>
      <c r="BG106" s="132"/>
    </row>
    <row r="107" spans="2:59" x14ac:dyDescent="0.45">
      <c r="B107" s="131"/>
      <c r="C107" s="131"/>
      <c r="D107" s="131"/>
      <c r="E107" s="131"/>
      <c r="F107" s="131"/>
      <c r="G107" s="131"/>
      <c r="H107" s="131"/>
      <c r="I107" s="131"/>
      <c r="J107" s="139"/>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c r="AP107" s="131"/>
      <c r="AQ107" s="131"/>
      <c r="AR107" s="131"/>
      <c r="AS107" s="131"/>
      <c r="AT107" s="131"/>
      <c r="AU107" s="131"/>
      <c r="AV107" s="131"/>
      <c r="AW107" s="131"/>
      <c r="AX107" s="131"/>
      <c r="AY107" s="131"/>
      <c r="AZ107" s="131"/>
      <c r="BA107" s="131"/>
      <c r="BB107" s="131"/>
      <c r="BC107" s="131"/>
      <c r="BD107" s="131"/>
      <c r="BE107" s="132"/>
      <c r="BF107" s="132"/>
      <c r="BG107" s="132"/>
    </row>
    <row r="108" spans="2:59" x14ac:dyDescent="0.45">
      <c r="B108" s="131"/>
      <c r="C108" s="131"/>
      <c r="D108" s="131"/>
      <c r="E108" s="131"/>
      <c r="F108" s="131"/>
      <c r="G108" s="131"/>
      <c r="H108" s="131"/>
      <c r="I108" s="131"/>
      <c r="J108" s="139"/>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c r="AP108" s="131"/>
      <c r="AQ108" s="131"/>
      <c r="AR108" s="131"/>
      <c r="AS108" s="131"/>
      <c r="AT108" s="131"/>
      <c r="AU108" s="131"/>
      <c r="AV108" s="131"/>
      <c r="AW108" s="131"/>
      <c r="AX108" s="131"/>
      <c r="AY108" s="131"/>
      <c r="AZ108" s="131"/>
      <c r="BA108" s="131"/>
      <c r="BB108" s="131"/>
      <c r="BC108" s="131"/>
      <c r="BD108" s="131"/>
      <c r="BE108" s="132"/>
      <c r="BF108" s="132"/>
      <c r="BG108" s="132"/>
    </row>
    <row r="109" spans="2:59" x14ac:dyDescent="0.45">
      <c r="B109" s="131"/>
      <c r="C109" s="131"/>
      <c r="D109" s="131"/>
      <c r="E109" s="131"/>
      <c r="F109" s="131"/>
      <c r="G109" s="131"/>
      <c r="H109" s="131"/>
      <c r="I109" s="131"/>
      <c r="J109" s="139"/>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c r="AP109" s="131"/>
      <c r="AQ109" s="131"/>
      <c r="AR109" s="131"/>
      <c r="AS109" s="131"/>
      <c r="AT109" s="131"/>
      <c r="AU109" s="131"/>
      <c r="AV109" s="131"/>
      <c r="AW109" s="131"/>
      <c r="AX109" s="131"/>
      <c r="AY109" s="131"/>
      <c r="AZ109" s="131"/>
      <c r="BA109" s="131"/>
      <c r="BB109" s="131"/>
      <c r="BC109" s="131"/>
      <c r="BD109" s="131"/>
      <c r="BE109" s="132"/>
      <c r="BF109" s="132"/>
      <c r="BG109" s="132"/>
    </row>
    <row r="110" spans="2:59" x14ac:dyDescent="0.45">
      <c r="B110" s="131"/>
      <c r="C110" s="131"/>
      <c r="D110" s="131"/>
      <c r="E110" s="131"/>
      <c r="F110" s="131"/>
      <c r="G110" s="131"/>
      <c r="H110" s="131"/>
      <c r="I110" s="131"/>
      <c r="J110" s="139"/>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c r="AO110" s="131"/>
      <c r="AP110" s="131"/>
      <c r="AQ110" s="131"/>
      <c r="AR110" s="131"/>
      <c r="AS110" s="131"/>
      <c r="AT110" s="131"/>
      <c r="AU110" s="131"/>
      <c r="AV110" s="131"/>
      <c r="AW110" s="131"/>
      <c r="AX110" s="131"/>
      <c r="AY110" s="131"/>
      <c r="AZ110" s="131"/>
      <c r="BA110" s="131"/>
      <c r="BB110" s="131"/>
      <c r="BC110" s="131"/>
      <c r="BD110" s="131"/>
      <c r="BE110" s="132"/>
      <c r="BF110" s="132"/>
      <c r="BG110" s="132"/>
    </row>
    <row r="111" spans="2:59" x14ac:dyDescent="0.45">
      <c r="B111" s="131"/>
      <c r="C111" s="131"/>
      <c r="D111" s="131"/>
      <c r="E111" s="131"/>
      <c r="F111" s="131"/>
      <c r="G111" s="131"/>
      <c r="H111" s="131"/>
      <c r="I111" s="131"/>
      <c r="J111" s="139"/>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c r="AP111" s="131"/>
      <c r="AQ111" s="131"/>
      <c r="AR111" s="131"/>
      <c r="AS111" s="131"/>
      <c r="AT111" s="131"/>
      <c r="AU111" s="131"/>
      <c r="AV111" s="131"/>
      <c r="AW111" s="131"/>
      <c r="AX111" s="131"/>
      <c r="AY111" s="131"/>
      <c r="AZ111" s="131"/>
      <c r="BA111" s="131"/>
      <c r="BB111" s="131"/>
      <c r="BC111" s="131"/>
      <c r="BD111" s="131"/>
      <c r="BE111" s="132"/>
      <c r="BF111" s="132"/>
      <c r="BG111" s="132"/>
    </row>
    <row r="112" spans="2:59" x14ac:dyDescent="0.45">
      <c r="B112" s="131"/>
      <c r="C112" s="131"/>
      <c r="D112" s="131"/>
      <c r="E112" s="131"/>
      <c r="F112" s="131"/>
      <c r="G112" s="131"/>
      <c r="H112" s="131"/>
      <c r="I112" s="131"/>
      <c r="J112" s="139"/>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31"/>
      <c r="AP112" s="131"/>
      <c r="AQ112" s="131"/>
      <c r="AR112" s="131"/>
      <c r="AS112" s="131"/>
      <c r="AT112" s="131"/>
      <c r="AU112" s="131"/>
      <c r="AV112" s="131"/>
      <c r="AW112" s="131"/>
      <c r="AX112" s="131"/>
      <c r="AY112" s="131"/>
      <c r="AZ112" s="131"/>
      <c r="BA112" s="131"/>
      <c r="BB112" s="131"/>
      <c r="BC112" s="131"/>
      <c r="BD112" s="131"/>
      <c r="BE112" s="132"/>
      <c r="BF112" s="132"/>
      <c r="BG112" s="132"/>
    </row>
    <row r="113" spans="2:59" x14ac:dyDescent="0.45">
      <c r="B113" s="131"/>
      <c r="C113" s="131"/>
      <c r="D113" s="131"/>
      <c r="E113" s="131"/>
      <c r="F113" s="131"/>
      <c r="G113" s="131"/>
      <c r="H113" s="131"/>
      <c r="I113" s="131"/>
      <c r="J113" s="139"/>
      <c r="K113" s="131"/>
      <c r="L113" s="131"/>
      <c r="M113" s="131"/>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c r="AO113" s="131"/>
      <c r="AP113" s="131"/>
      <c r="AQ113" s="131"/>
      <c r="AR113" s="131"/>
      <c r="AS113" s="131"/>
      <c r="AT113" s="131"/>
      <c r="AU113" s="131"/>
      <c r="AV113" s="131"/>
      <c r="AW113" s="131"/>
      <c r="AX113" s="131"/>
      <c r="AY113" s="131"/>
      <c r="AZ113" s="131"/>
      <c r="BA113" s="131"/>
      <c r="BB113" s="131"/>
      <c r="BC113" s="131"/>
      <c r="BD113" s="131"/>
      <c r="BE113" s="132"/>
      <c r="BF113" s="132"/>
      <c r="BG113" s="132"/>
    </row>
    <row r="114" spans="2:59" x14ac:dyDescent="0.45">
      <c r="B114" s="131"/>
      <c r="C114" s="131"/>
      <c r="D114" s="131"/>
      <c r="E114" s="131"/>
      <c r="F114" s="131"/>
      <c r="G114" s="131"/>
      <c r="H114" s="131"/>
      <c r="I114" s="131"/>
      <c r="J114" s="139"/>
      <c r="K114" s="131"/>
      <c r="L114" s="131"/>
      <c r="M114" s="131"/>
      <c r="N114" s="131"/>
      <c r="O114" s="131"/>
      <c r="P114" s="131"/>
      <c r="Q114" s="131"/>
      <c r="R114" s="131"/>
      <c r="S114" s="131"/>
      <c r="T114" s="131"/>
      <c r="U114" s="131"/>
      <c r="V114" s="131"/>
      <c r="W114" s="131"/>
      <c r="X114" s="131"/>
      <c r="Y114" s="131"/>
      <c r="Z114" s="131"/>
      <c r="AA114" s="131"/>
      <c r="AB114" s="131"/>
      <c r="AC114" s="131"/>
      <c r="AD114" s="131"/>
      <c r="AE114" s="131"/>
      <c r="AF114" s="131"/>
      <c r="AG114" s="131"/>
      <c r="AH114" s="131"/>
      <c r="AI114" s="131"/>
      <c r="AJ114" s="131"/>
      <c r="AK114" s="131"/>
      <c r="AL114" s="131"/>
      <c r="AM114" s="131"/>
      <c r="AN114" s="131"/>
      <c r="AO114" s="131"/>
      <c r="AP114" s="131"/>
      <c r="AQ114" s="131"/>
      <c r="AR114" s="131"/>
      <c r="AS114" s="131"/>
      <c r="AT114" s="131"/>
      <c r="AU114" s="131"/>
      <c r="AV114" s="131"/>
      <c r="AW114" s="131"/>
      <c r="AX114" s="131"/>
      <c r="AY114" s="131"/>
      <c r="AZ114" s="131"/>
      <c r="BA114" s="131"/>
      <c r="BB114" s="131"/>
      <c r="BC114" s="131"/>
      <c r="BD114" s="131"/>
      <c r="BE114" s="132"/>
      <c r="BF114" s="132"/>
      <c r="BG114" s="132"/>
    </row>
    <row r="115" spans="2:59" x14ac:dyDescent="0.45">
      <c r="B115" s="131"/>
      <c r="C115" s="131"/>
      <c r="D115" s="131"/>
      <c r="E115" s="131"/>
      <c r="F115" s="131"/>
      <c r="G115" s="131"/>
      <c r="H115" s="131"/>
      <c r="I115" s="131"/>
      <c r="J115" s="139"/>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c r="AI115" s="131"/>
      <c r="AJ115" s="131"/>
      <c r="AK115" s="131"/>
      <c r="AL115" s="131"/>
      <c r="AM115" s="131"/>
      <c r="AN115" s="131"/>
      <c r="AO115" s="131"/>
      <c r="AP115" s="131"/>
      <c r="AQ115" s="131"/>
      <c r="AR115" s="131"/>
      <c r="AS115" s="131"/>
      <c r="AT115" s="131"/>
      <c r="AU115" s="131"/>
      <c r="AV115" s="131"/>
      <c r="AW115" s="131"/>
      <c r="AX115" s="131"/>
      <c r="AY115" s="131"/>
      <c r="AZ115" s="131"/>
      <c r="BA115" s="131"/>
      <c r="BB115" s="131"/>
      <c r="BC115" s="131"/>
      <c r="BD115" s="131"/>
      <c r="BE115" s="132"/>
      <c r="BF115" s="132"/>
      <c r="BG115" s="132"/>
    </row>
    <row r="116" spans="2:59" x14ac:dyDescent="0.45">
      <c r="B116" s="131"/>
      <c r="C116" s="131"/>
      <c r="D116" s="131"/>
      <c r="E116" s="131"/>
      <c r="F116" s="131"/>
      <c r="G116" s="131"/>
      <c r="H116" s="131"/>
      <c r="I116" s="131"/>
      <c r="J116" s="139"/>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c r="AI116" s="131"/>
      <c r="AJ116" s="131"/>
      <c r="AK116" s="131"/>
      <c r="AL116" s="131"/>
      <c r="AM116" s="131"/>
      <c r="AN116" s="131"/>
      <c r="AO116" s="131"/>
      <c r="AP116" s="131"/>
      <c r="AQ116" s="131"/>
      <c r="AR116" s="131"/>
      <c r="AS116" s="131"/>
      <c r="AT116" s="131"/>
      <c r="AU116" s="131"/>
      <c r="AV116" s="131"/>
      <c r="AW116" s="131"/>
      <c r="AX116" s="131"/>
      <c r="AY116" s="131"/>
      <c r="AZ116" s="131"/>
      <c r="BA116" s="131"/>
      <c r="BB116" s="131"/>
      <c r="BC116" s="131"/>
      <c r="BD116" s="131"/>
      <c r="BE116" s="132"/>
      <c r="BF116" s="132"/>
      <c r="BG116" s="132"/>
    </row>
    <row r="117" spans="2:59" x14ac:dyDescent="0.45">
      <c r="B117" s="131"/>
      <c r="C117" s="131"/>
      <c r="D117" s="131"/>
      <c r="E117" s="131"/>
      <c r="F117" s="131"/>
      <c r="G117" s="131"/>
      <c r="H117" s="131"/>
      <c r="I117" s="131"/>
      <c r="J117" s="139"/>
      <c r="K117" s="131"/>
      <c r="L117" s="131"/>
      <c r="M117" s="131"/>
      <c r="N117" s="131"/>
      <c r="O117" s="131"/>
      <c r="P117" s="131"/>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c r="AO117" s="131"/>
      <c r="AP117" s="131"/>
      <c r="AQ117" s="131"/>
      <c r="AR117" s="131"/>
      <c r="AS117" s="131"/>
      <c r="AT117" s="131"/>
      <c r="AU117" s="131"/>
      <c r="AV117" s="131"/>
      <c r="AW117" s="131"/>
      <c r="AX117" s="131"/>
      <c r="AY117" s="131"/>
      <c r="AZ117" s="131"/>
      <c r="BA117" s="131"/>
      <c r="BB117" s="131"/>
      <c r="BC117" s="131"/>
      <c r="BD117" s="131"/>
      <c r="BE117" s="132"/>
      <c r="BF117" s="132"/>
      <c r="BG117" s="132"/>
    </row>
    <row r="118" spans="2:59" x14ac:dyDescent="0.45">
      <c r="B118" s="131"/>
      <c r="C118" s="131"/>
      <c r="D118" s="131"/>
      <c r="E118" s="131"/>
      <c r="F118" s="131"/>
      <c r="G118" s="131"/>
      <c r="H118" s="131"/>
      <c r="I118" s="131"/>
      <c r="J118" s="139"/>
      <c r="K118" s="131"/>
      <c r="L118" s="131"/>
      <c r="M118" s="131"/>
      <c r="N118" s="131"/>
      <c r="O118" s="131"/>
      <c r="P118" s="131"/>
      <c r="Q118" s="131"/>
      <c r="R118" s="131"/>
      <c r="S118" s="131"/>
      <c r="T118" s="131"/>
      <c r="U118" s="131"/>
      <c r="V118" s="131"/>
      <c r="W118" s="131"/>
      <c r="X118" s="131"/>
      <c r="Y118" s="131"/>
      <c r="Z118" s="131"/>
      <c r="AA118" s="131"/>
      <c r="AB118" s="131"/>
      <c r="AC118" s="131"/>
      <c r="AD118" s="131"/>
      <c r="AE118" s="131"/>
      <c r="AF118" s="131"/>
      <c r="AG118" s="131"/>
      <c r="AH118" s="131"/>
      <c r="AI118" s="131"/>
      <c r="AJ118" s="131"/>
      <c r="AK118" s="131"/>
      <c r="AL118" s="131"/>
      <c r="AM118" s="131"/>
      <c r="AN118" s="131"/>
      <c r="AO118" s="131"/>
      <c r="AP118" s="131"/>
      <c r="AQ118" s="131"/>
      <c r="AR118" s="131"/>
      <c r="AS118" s="131"/>
      <c r="AT118" s="131"/>
      <c r="AU118" s="131"/>
      <c r="AV118" s="131"/>
      <c r="AW118" s="131"/>
      <c r="AX118" s="131"/>
      <c r="AY118" s="131"/>
      <c r="AZ118" s="131"/>
      <c r="BA118" s="131"/>
      <c r="BB118" s="131"/>
      <c r="BC118" s="131"/>
      <c r="BD118" s="131"/>
      <c r="BE118" s="132"/>
      <c r="BF118" s="132"/>
      <c r="BG118" s="132"/>
    </row>
    <row r="119" spans="2:59" x14ac:dyDescent="0.45">
      <c r="B119" s="131"/>
      <c r="C119" s="131"/>
      <c r="D119" s="131"/>
      <c r="E119" s="131"/>
      <c r="F119" s="131"/>
      <c r="G119" s="131"/>
      <c r="H119" s="131"/>
      <c r="I119" s="131"/>
      <c r="J119" s="139"/>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c r="AO119" s="131"/>
      <c r="AP119" s="131"/>
      <c r="AQ119" s="131"/>
      <c r="AR119" s="131"/>
      <c r="AS119" s="131"/>
      <c r="AT119" s="131"/>
      <c r="AU119" s="131"/>
      <c r="AV119" s="131"/>
      <c r="AW119" s="131"/>
      <c r="AX119" s="131"/>
      <c r="AY119" s="131"/>
      <c r="AZ119" s="131"/>
      <c r="BA119" s="131"/>
      <c r="BB119" s="131"/>
      <c r="BC119" s="131"/>
      <c r="BD119" s="131"/>
      <c r="BE119" s="132"/>
      <c r="BF119" s="132"/>
      <c r="BG119" s="132"/>
    </row>
    <row r="120" spans="2:59" x14ac:dyDescent="0.45">
      <c r="B120" s="131"/>
      <c r="C120" s="131"/>
      <c r="D120" s="131"/>
      <c r="E120" s="131"/>
      <c r="F120" s="131"/>
      <c r="G120" s="131"/>
      <c r="H120" s="131"/>
      <c r="I120" s="131"/>
      <c r="J120" s="139"/>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1"/>
      <c r="AG120" s="131"/>
      <c r="AH120" s="131"/>
      <c r="AI120" s="131"/>
      <c r="AJ120" s="131"/>
      <c r="AK120" s="131"/>
      <c r="AL120" s="131"/>
      <c r="AM120" s="131"/>
      <c r="AN120" s="131"/>
      <c r="AO120" s="131"/>
      <c r="AP120" s="131"/>
      <c r="AQ120" s="131"/>
      <c r="AR120" s="131"/>
      <c r="AS120" s="131"/>
      <c r="AT120" s="131"/>
      <c r="AU120" s="131"/>
      <c r="AV120" s="131"/>
      <c r="AW120" s="131"/>
      <c r="AX120" s="131"/>
      <c r="AY120" s="131"/>
      <c r="AZ120" s="131"/>
      <c r="BA120" s="131"/>
      <c r="BB120" s="131"/>
      <c r="BC120" s="131"/>
      <c r="BD120" s="131"/>
      <c r="BE120" s="132"/>
      <c r="BF120" s="132"/>
      <c r="BG120" s="132"/>
    </row>
    <row r="121" spans="2:59" x14ac:dyDescent="0.45">
      <c r="B121" s="131"/>
      <c r="C121" s="131"/>
      <c r="D121" s="131"/>
      <c r="E121" s="131"/>
      <c r="F121" s="131"/>
      <c r="G121" s="131"/>
      <c r="H121" s="131"/>
      <c r="I121" s="131"/>
      <c r="J121" s="139"/>
      <c r="K121" s="131"/>
      <c r="L121" s="131"/>
      <c r="M121" s="131"/>
      <c r="N121" s="131"/>
      <c r="O121" s="131"/>
      <c r="P121" s="131"/>
      <c r="Q121" s="131"/>
      <c r="R121" s="131"/>
      <c r="S121" s="131"/>
      <c r="T121" s="131"/>
      <c r="U121" s="131"/>
      <c r="V121" s="131"/>
      <c r="W121" s="131"/>
      <c r="X121" s="131"/>
      <c r="Y121" s="131"/>
      <c r="Z121" s="131"/>
      <c r="AA121" s="131"/>
      <c r="AB121" s="131"/>
      <c r="AC121" s="131"/>
      <c r="AD121" s="131"/>
      <c r="AE121" s="131"/>
      <c r="AF121" s="131"/>
      <c r="AG121" s="131"/>
      <c r="AH121" s="131"/>
      <c r="AI121" s="131"/>
      <c r="AJ121" s="131"/>
      <c r="AK121" s="131"/>
      <c r="AL121" s="131"/>
      <c r="AM121" s="131"/>
      <c r="AN121" s="131"/>
      <c r="AO121" s="131"/>
      <c r="AP121" s="131"/>
      <c r="AQ121" s="131"/>
      <c r="AR121" s="131"/>
      <c r="AS121" s="131"/>
      <c r="AT121" s="131"/>
      <c r="AU121" s="131"/>
      <c r="AV121" s="131"/>
      <c r="AW121" s="131"/>
      <c r="AX121" s="131"/>
      <c r="AY121" s="131"/>
      <c r="AZ121" s="131"/>
      <c r="BA121" s="131"/>
      <c r="BB121" s="131"/>
      <c r="BC121" s="131"/>
      <c r="BD121" s="131"/>
      <c r="BE121" s="132"/>
      <c r="BF121" s="132"/>
      <c r="BG121" s="132"/>
    </row>
    <row r="122" spans="2:59" x14ac:dyDescent="0.45">
      <c r="B122" s="131"/>
      <c r="C122" s="131"/>
      <c r="D122" s="131"/>
      <c r="E122" s="131"/>
      <c r="F122" s="131"/>
      <c r="G122" s="131"/>
      <c r="H122" s="131"/>
      <c r="I122" s="131"/>
      <c r="J122" s="139"/>
      <c r="K122" s="131"/>
      <c r="L122" s="131"/>
      <c r="M122" s="131"/>
      <c r="N122" s="131"/>
      <c r="O122" s="131"/>
      <c r="P122" s="131"/>
      <c r="Q122" s="131"/>
      <c r="R122" s="131"/>
      <c r="S122" s="131"/>
      <c r="T122" s="131"/>
      <c r="U122" s="131"/>
      <c r="V122" s="131"/>
      <c r="W122" s="131"/>
      <c r="X122" s="131"/>
      <c r="Y122" s="131"/>
      <c r="Z122" s="131"/>
      <c r="AA122" s="131"/>
      <c r="AB122" s="131"/>
      <c r="AC122" s="131"/>
      <c r="AD122" s="131"/>
      <c r="AE122" s="131"/>
      <c r="AF122" s="131"/>
      <c r="AG122" s="131"/>
      <c r="AH122" s="131"/>
      <c r="AI122" s="131"/>
      <c r="AJ122" s="131"/>
      <c r="AK122" s="131"/>
      <c r="AL122" s="131"/>
      <c r="AM122" s="131"/>
      <c r="AN122" s="131"/>
      <c r="AO122" s="131"/>
      <c r="AP122" s="131"/>
      <c r="AQ122" s="131"/>
      <c r="AR122" s="131"/>
      <c r="AS122" s="131"/>
      <c r="AT122" s="131"/>
      <c r="AU122" s="131"/>
      <c r="AV122" s="131"/>
      <c r="AW122" s="131"/>
      <c r="AX122" s="131"/>
      <c r="AY122" s="131"/>
      <c r="AZ122" s="131"/>
      <c r="BA122" s="131"/>
      <c r="BB122" s="131"/>
      <c r="BC122" s="131"/>
      <c r="BD122" s="131"/>
      <c r="BE122" s="132"/>
      <c r="BF122" s="132"/>
      <c r="BG122" s="132"/>
    </row>
    <row r="123" spans="2:59" x14ac:dyDescent="0.45">
      <c r="B123" s="131"/>
      <c r="C123" s="131"/>
      <c r="D123" s="131"/>
      <c r="E123" s="131"/>
      <c r="F123" s="131"/>
      <c r="G123" s="131"/>
      <c r="H123" s="131"/>
      <c r="I123" s="131"/>
      <c r="J123" s="139"/>
      <c r="K123" s="131"/>
      <c r="L123" s="131"/>
      <c r="M123" s="131"/>
      <c r="N123" s="131"/>
      <c r="O123" s="131"/>
      <c r="P123" s="131"/>
      <c r="Q123" s="131"/>
      <c r="R123" s="131"/>
      <c r="S123" s="131"/>
      <c r="T123" s="131"/>
      <c r="U123" s="131"/>
      <c r="V123" s="131"/>
      <c r="W123" s="131"/>
      <c r="X123" s="131"/>
      <c r="Y123" s="131"/>
      <c r="Z123" s="131"/>
      <c r="AA123" s="131"/>
      <c r="AB123" s="131"/>
      <c r="AC123" s="131"/>
      <c r="AD123" s="131"/>
      <c r="AE123" s="131"/>
      <c r="AF123" s="131"/>
      <c r="AG123" s="131"/>
      <c r="AH123" s="131"/>
      <c r="AI123" s="131"/>
      <c r="AJ123" s="131"/>
      <c r="AK123" s="131"/>
      <c r="AL123" s="131"/>
      <c r="AM123" s="131"/>
      <c r="AN123" s="131"/>
      <c r="AO123" s="131"/>
      <c r="AP123" s="131"/>
      <c r="AQ123" s="131"/>
      <c r="AR123" s="131"/>
      <c r="AS123" s="131"/>
      <c r="AT123" s="131"/>
      <c r="AU123" s="131"/>
      <c r="AV123" s="131"/>
      <c r="AW123" s="131"/>
      <c r="AX123" s="131"/>
      <c r="AY123" s="131"/>
      <c r="AZ123" s="131"/>
      <c r="BA123" s="131"/>
      <c r="BB123" s="131"/>
      <c r="BC123" s="131"/>
      <c r="BD123" s="131"/>
      <c r="BE123" s="132"/>
      <c r="BF123" s="132"/>
      <c r="BG123" s="132"/>
    </row>
    <row r="124" spans="2:59" x14ac:dyDescent="0.45">
      <c r="B124" s="131"/>
      <c r="C124" s="131"/>
      <c r="D124" s="131"/>
      <c r="E124" s="131"/>
      <c r="F124" s="131"/>
      <c r="G124" s="131"/>
      <c r="H124" s="131"/>
      <c r="I124" s="131"/>
      <c r="J124" s="139"/>
      <c r="K124" s="131"/>
      <c r="L124" s="131"/>
      <c r="M124" s="131"/>
      <c r="N124" s="131"/>
      <c r="O124" s="131"/>
      <c r="P124" s="131"/>
      <c r="Q124" s="131"/>
      <c r="R124" s="131"/>
      <c r="S124" s="131"/>
      <c r="T124" s="131"/>
      <c r="U124" s="131"/>
      <c r="V124" s="131"/>
      <c r="W124" s="131"/>
      <c r="X124" s="131"/>
      <c r="Y124" s="131"/>
      <c r="Z124" s="131"/>
      <c r="AA124" s="131"/>
      <c r="AB124" s="131"/>
      <c r="AC124" s="131"/>
      <c r="AD124" s="131"/>
      <c r="AE124" s="131"/>
      <c r="AF124" s="131"/>
      <c r="AG124" s="131"/>
      <c r="AH124" s="131"/>
      <c r="AI124" s="131"/>
      <c r="AJ124" s="131"/>
      <c r="AK124" s="131"/>
      <c r="AL124" s="131"/>
      <c r="AM124" s="131"/>
      <c r="AN124" s="131"/>
      <c r="AO124" s="131"/>
      <c r="AP124" s="131"/>
      <c r="AQ124" s="131"/>
      <c r="AR124" s="131"/>
      <c r="AS124" s="131"/>
      <c r="AT124" s="131"/>
      <c r="AU124" s="131"/>
      <c r="AV124" s="131"/>
      <c r="AW124" s="131"/>
      <c r="AX124" s="131"/>
      <c r="AY124" s="131"/>
      <c r="AZ124" s="131"/>
      <c r="BA124" s="131"/>
      <c r="BB124" s="131"/>
      <c r="BC124" s="131"/>
      <c r="BD124" s="131"/>
      <c r="BE124" s="132"/>
      <c r="BF124" s="132"/>
      <c r="BG124" s="132"/>
    </row>
    <row r="125" spans="2:59" x14ac:dyDescent="0.45">
      <c r="B125" s="131"/>
      <c r="C125" s="131"/>
      <c r="D125" s="131"/>
      <c r="E125" s="131"/>
      <c r="F125" s="131"/>
      <c r="G125" s="131"/>
      <c r="H125" s="131"/>
      <c r="I125" s="131"/>
      <c r="J125" s="139"/>
      <c r="K125" s="131"/>
      <c r="L125" s="131"/>
      <c r="M125" s="131"/>
      <c r="N125" s="131"/>
      <c r="O125" s="131"/>
      <c r="P125" s="131"/>
      <c r="Q125" s="131"/>
      <c r="R125" s="131"/>
      <c r="S125" s="131"/>
      <c r="T125" s="131"/>
      <c r="U125" s="131"/>
      <c r="V125" s="131"/>
      <c r="W125" s="131"/>
      <c r="X125" s="131"/>
      <c r="Y125" s="131"/>
      <c r="Z125" s="131"/>
      <c r="AA125" s="131"/>
      <c r="AB125" s="131"/>
      <c r="AC125" s="131"/>
      <c r="AD125" s="131"/>
      <c r="AE125" s="131"/>
      <c r="AF125" s="131"/>
      <c r="AG125" s="131"/>
      <c r="AH125" s="131"/>
      <c r="AI125" s="131"/>
      <c r="AJ125" s="131"/>
      <c r="AK125" s="131"/>
      <c r="AL125" s="131"/>
      <c r="AM125" s="131"/>
      <c r="AN125" s="131"/>
      <c r="AO125" s="131"/>
      <c r="AP125" s="131"/>
      <c r="AQ125" s="131"/>
      <c r="AR125" s="131"/>
      <c r="AS125" s="131"/>
      <c r="AT125" s="131"/>
      <c r="AU125" s="131"/>
      <c r="AV125" s="131"/>
      <c r="AW125" s="131"/>
      <c r="AX125" s="131"/>
      <c r="AY125" s="131"/>
      <c r="AZ125" s="131"/>
      <c r="BA125" s="131"/>
      <c r="BB125" s="131"/>
      <c r="BC125" s="131"/>
      <c r="BD125" s="131"/>
      <c r="BE125" s="132"/>
      <c r="BF125" s="132"/>
      <c r="BG125" s="132"/>
    </row>
    <row r="126" spans="2:59" x14ac:dyDescent="0.45">
      <c r="B126" s="131"/>
      <c r="C126" s="131"/>
      <c r="D126" s="131"/>
      <c r="E126" s="131"/>
      <c r="F126" s="131"/>
      <c r="G126" s="131"/>
      <c r="H126" s="131"/>
      <c r="I126" s="131"/>
      <c r="J126" s="139"/>
      <c r="K126" s="131"/>
      <c r="L126" s="131"/>
      <c r="M126" s="131"/>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131"/>
      <c r="AO126" s="131"/>
      <c r="AP126" s="131"/>
      <c r="AQ126" s="131"/>
      <c r="AR126" s="131"/>
      <c r="AS126" s="131"/>
      <c r="AT126" s="131"/>
      <c r="AU126" s="131"/>
      <c r="AV126" s="131"/>
      <c r="AW126" s="131"/>
      <c r="AX126" s="131"/>
      <c r="AY126" s="131"/>
      <c r="AZ126" s="131"/>
      <c r="BA126" s="131"/>
      <c r="BB126" s="131"/>
      <c r="BC126" s="131"/>
      <c r="BD126" s="131"/>
      <c r="BE126" s="132"/>
      <c r="BF126" s="132"/>
      <c r="BG126" s="132"/>
    </row>
    <row r="127" spans="2:59" x14ac:dyDescent="0.45">
      <c r="B127" s="131"/>
      <c r="C127" s="131"/>
      <c r="D127" s="131"/>
      <c r="E127" s="131"/>
      <c r="F127" s="131"/>
      <c r="G127" s="131"/>
      <c r="H127" s="131"/>
      <c r="I127" s="131"/>
      <c r="J127" s="139"/>
      <c r="K127" s="131"/>
      <c r="L127" s="131"/>
      <c r="M127" s="131"/>
      <c r="N127" s="131"/>
      <c r="O127" s="131"/>
      <c r="P127" s="131"/>
      <c r="Q127" s="131"/>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131"/>
      <c r="AO127" s="131"/>
      <c r="AP127" s="131"/>
      <c r="AQ127" s="131"/>
      <c r="AR127" s="131"/>
      <c r="AS127" s="131"/>
      <c r="AT127" s="131"/>
      <c r="AU127" s="131"/>
      <c r="AV127" s="131"/>
      <c r="AW127" s="131"/>
      <c r="AX127" s="131"/>
      <c r="AY127" s="131"/>
      <c r="AZ127" s="131"/>
      <c r="BA127" s="131"/>
      <c r="BB127" s="131"/>
      <c r="BC127" s="131"/>
      <c r="BD127" s="131"/>
      <c r="BE127" s="132"/>
      <c r="BF127" s="132"/>
      <c r="BG127" s="132"/>
    </row>
    <row r="128" spans="2:59" x14ac:dyDescent="0.45">
      <c r="B128" s="131"/>
      <c r="C128" s="131"/>
      <c r="D128" s="131"/>
      <c r="E128" s="131"/>
      <c r="F128" s="131"/>
      <c r="G128" s="131"/>
      <c r="H128" s="131"/>
      <c r="I128" s="131"/>
      <c r="J128" s="139"/>
      <c r="K128" s="131"/>
      <c r="L128" s="131"/>
      <c r="M128" s="131"/>
      <c r="N128" s="131"/>
      <c r="O128" s="131"/>
      <c r="P128" s="131"/>
      <c r="Q128" s="131"/>
      <c r="R128" s="131"/>
      <c r="S128" s="131"/>
      <c r="T128" s="131"/>
      <c r="U128" s="131"/>
      <c r="V128" s="131"/>
      <c r="W128" s="131"/>
      <c r="X128" s="131"/>
      <c r="Y128" s="131"/>
      <c r="Z128" s="131"/>
      <c r="AA128" s="131"/>
      <c r="AB128" s="131"/>
      <c r="AC128" s="131"/>
      <c r="AD128" s="131"/>
      <c r="AE128" s="131"/>
      <c r="AF128" s="131"/>
      <c r="AG128" s="131"/>
      <c r="AH128" s="131"/>
      <c r="AI128" s="131"/>
      <c r="AJ128" s="131"/>
      <c r="AK128" s="131"/>
      <c r="AL128" s="131"/>
      <c r="AM128" s="131"/>
      <c r="AN128" s="131"/>
      <c r="AO128" s="131"/>
      <c r="AP128" s="131"/>
      <c r="AQ128" s="131"/>
      <c r="AR128" s="131"/>
      <c r="AS128" s="131"/>
      <c r="AT128" s="131"/>
      <c r="AU128" s="131"/>
      <c r="AV128" s="131"/>
      <c r="AW128" s="131"/>
      <c r="AX128" s="131"/>
      <c r="AY128" s="131"/>
      <c r="AZ128" s="131"/>
      <c r="BA128" s="131"/>
      <c r="BB128" s="131"/>
      <c r="BC128" s="131"/>
      <c r="BD128" s="131"/>
      <c r="BE128" s="132"/>
      <c r="BF128" s="132"/>
      <c r="BG128" s="132"/>
    </row>
    <row r="129" spans="2:59" x14ac:dyDescent="0.45">
      <c r="B129" s="131"/>
      <c r="C129" s="131"/>
      <c r="D129" s="131"/>
      <c r="E129" s="131"/>
      <c r="F129" s="131"/>
      <c r="G129" s="131"/>
      <c r="H129" s="131"/>
      <c r="I129" s="131"/>
      <c r="J129" s="139"/>
      <c r="K129" s="131"/>
      <c r="L129" s="131"/>
      <c r="M129" s="131"/>
      <c r="N129" s="131"/>
      <c r="O129" s="131"/>
      <c r="P129" s="131"/>
      <c r="Q129" s="131"/>
      <c r="R129" s="131"/>
      <c r="S129" s="131"/>
      <c r="T129" s="131"/>
      <c r="U129" s="131"/>
      <c r="V129" s="131"/>
      <c r="W129" s="131"/>
      <c r="X129" s="131"/>
      <c r="Y129" s="131"/>
      <c r="Z129" s="131"/>
      <c r="AA129" s="131"/>
      <c r="AB129" s="131"/>
      <c r="AC129" s="131"/>
      <c r="AD129" s="131"/>
      <c r="AE129" s="131"/>
      <c r="AF129" s="131"/>
      <c r="AG129" s="131"/>
      <c r="AH129" s="131"/>
      <c r="AI129" s="131"/>
      <c r="AJ129" s="131"/>
      <c r="AK129" s="131"/>
      <c r="AL129" s="131"/>
      <c r="AM129" s="131"/>
      <c r="AN129" s="131"/>
      <c r="AO129" s="131"/>
      <c r="AP129" s="131"/>
      <c r="AQ129" s="131"/>
      <c r="AR129" s="131"/>
      <c r="AS129" s="131"/>
      <c r="AT129" s="131"/>
      <c r="AU129" s="131"/>
      <c r="AV129" s="131"/>
      <c r="AW129" s="131"/>
      <c r="AX129" s="131"/>
      <c r="AY129" s="131"/>
      <c r="AZ129" s="131"/>
      <c r="BA129" s="131"/>
      <c r="BB129" s="131"/>
      <c r="BC129" s="131"/>
      <c r="BD129" s="131"/>
      <c r="BE129" s="132"/>
      <c r="BF129" s="132"/>
      <c r="BG129" s="132"/>
    </row>
    <row r="130" spans="2:59" x14ac:dyDescent="0.45">
      <c r="B130" s="131"/>
      <c r="C130" s="131"/>
      <c r="D130" s="131"/>
      <c r="E130" s="131"/>
      <c r="F130" s="131"/>
      <c r="G130" s="131"/>
      <c r="H130" s="131"/>
      <c r="I130" s="131"/>
      <c r="J130" s="139"/>
      <c r="K130" s="131"/>
      <c r="L130" s="131"/>
      <c r="M130" s="131"/>
      <c r="N130" s="131"/>
      <c r="O130" s="131"/>
      <c r="P130" s="131"/>
      <c r="Q130" s="131"/>
      <c r="R130" s="131"/>
      <c r="S130" s="131"/>
      <c r="T130" s="131"/>
      <c r="U130" s="131"/>
      <c r="V130" s="131"/>
      <c r="W130" s="131"/>
      <c r="X130" s="131"/>
      <c r="Y130" s="131"/>
      <c r="Z130" s="131"/>
      <c r="AA130" s="131"/>
      <c r="AB130" s="131"/>
      <c r="AC130" s="131"/>
      <c r="AD130" s="131"/>
      <c r="AE130" s="131"/>
      <c r="AF130" s="131"/>
      <c r="AG130" s="131"/>
      <c r="AH130" s="131"/>
      <c r="AI130" s="131"/>
      <c r="AJ130" s="131"/>
      <c r="AK130" s="131"/>
      <c r="AL130" s="131"/>
      <c r="AM130" s="131"/>
      <c r="AN130" s="131"/>
      <c r="AO130" s="131"/>
      <c r="AP130" s="131"/>
      <c r="AQ130" s="131"/>
      <c r="AR130" s="131"/>
      <c r="AS130" s="131"/>
      <c r="AT130" s="131"/>
      <c r="AU130" s="131"/>
      <c r="AV130" s="131"/>
      <c r="AW130" s="131"/>
      <c r="AX130" s="131"/>
      <c r="AY130" s="131"/>
      <c r="AZ130" s="131"/>
      <c r="BA130" s="131"/>
      <c r="BB130" s="131"/>
      <c r="BC130" s="131"/>
      <c r="BD130" s="131"/>
      <c r="BE130" s="132"/>
      <c r="BF130" s="132"/>
      <c r="BG130" s="132"/>
    </row>
    <row r="131" spans="2:59" x14ac:dyDescent="0.45">
      <c r="B131" s="131"/>
      <c r="C131" s="131"/>
      <c r="D131" s="131"/>
      <c r="E131" s="131"/>
      <c r="F131" s="131"/>
      <c r="G131" s="131"/>
      <c r="H131" s="131"/>
      <c r="I131" s="131"/>
      <c r="J131" s="139"/>
      <c r="K131" s="132"/>
      <c r="L131" s="132"/>
      <c r="M131" s="132"/>
      <c r="N131" s="132"/>
      <c r="O131" s="132"/>
      <c r="P131" s="132"/>
      <c r="Q131" s="132"/>
      <c r="R131" s="132"/>
      <c r="S131" s="132"/>
      <c r="T131" s="132"/>
      <c r="U131" s="132"/>
      <c r="V131" s="132"/>
      <c r="W131" s="132"/>
      <c r="X131" s="132"/>
      <c r="Y131" s="132"/>
      <c r="Z131" s="132"/>
      <c r="AA131" s="132"/>
      <c r="AB131" s="132"/>
      <c r="AC131" s="132"/>
      <c r="AD131" s="132"/>
      <c r="AE131" s="132"/>
      <c r="AF131" s="132"/>
      <c r="AG131" s="132"/>
      <c r="AH131" s="132"/>
      <c r="AI131" s="132"/>
      <c r="AJ131" s="132"/>
      <c r="AK131" s="132"/>
      <c r="AL131" s="132"/>
      <c r="AM131" s="132"/>
      <c r="AN131" s="132"/>
      <c r="AO131" s="132"/>
      <c r="AP131" s="132"/>
      <c r="AQ131" s="132"/>
      <c r="AR131" s="132"/>
      <c r="AS131" s="132"/>
      <c r="AT131" s="132"/>
      <c r="AU131" s="132"/>
      <c r="AV131" s="132"/>
      <c r="AW131" s="132"/>
      <c r="AX131" s="132"/>
      <c r="AY131" s="132"/>
      <c r="AZ131" s="132"/>
      <c r="BA131" s="132"/>
      <c r="BB131" s="132"/>
      <c r="BC131" s="132"/>
      <c r="BD131" s="132"/>
      <c r="BE131" s="132"/>
      <c r="BF131" s="132"/>
      <c r="BG131" s="132"/>
    </row>
    <row r="132" spans="2:59" x14ac:dyDescent="0.45">
      <c r="B132" s="131"/>
      <c r="C132" s="131"/>
      <c r="D132" s="131"/>
      <c r="E132" s="131"/>
      <c r="F132" s="131"/>
      <c r="G132" s="131"/>
      <c r="H132" s="131"/>
      <c r="I132" s="131"/>
      <c r="J132" s="139"/>
      <c r="K132" s="132"/>
      <c r="L132" s="132"/>
      <c r="M132" s="132"/>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c r="AJ132" s="132"/>
      <c r="AK132" s="132"/>
      <c r="AL132" s="132"/>
      <c r="AM132" s="132"/>
      <c r="AN132" s="132"/>
      <c r="AO132" s="132"/>
      <c r="AP132" s="132"/>
      <c r="AQ132" s="132"/>
      <c r="AR132" s="132"/>
      <c r="AS132" s="132"/>
      <c r="AT132" s="132"/>
      <c r="AU132" s="132"/>
      <c r="AV132" s="132"/>
      <c r="AW132" s="132"/>
      <c r="AX132" s="132"/>
      <c r="AY132" s="132"/>
      <c r="AZ132" s="132"/>
      <c r="BA132" s="132"/>
      <c r="BB132" s="132"/>
      <c r="BC132" s="132"/>
      <c r="BD132" s="132"/>
      <c r="BE132" s="132"/>
      <c r="BF132" s="132"/>
      <c r="BG132" s="132"/>
    </row>
    <row r="133" spans="2:59" x14ac:dyDescent="0.45">
      <c r="B133" s="131"/>
      <c r="C133" s="131"/>
      <c r="D133" s="131"/>
      <c r="E133" s="131"/>
      <c r="F133" s="131"/>
      <c r="G133" s="131"/>
      <c r="H133" s="131"/>
      <c r="I133" s="131"/>
      <c r="J133" s="139"/>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c r="AG133" s="132"/>
      <c r="AH133" s="132"/>
      <c r="AI133" s="132"/>
      <c r="AJ133" s="132"/>
      <c r="AK133" s="132"/>
      <c r="AL133" s="132"/>
      <c r="AM133" s="132"/>
      <c r="AN133" s="132"/>
      <c r="AO133" s="132"/>
      <c r="AP133" s="132"/>
      <c r="AQ133" s="132"/>
      <c r="AR133" s="132"/>
      <c r="AS133" s="132"/>
      <c r="AT133" s="132"/>
      <c r="AU133" s="132"/>
      <c r="AV133" s="132"/>
      <c r="AW133" s="132"/>
      <c r="AX133" s="132"/>
      <c r="AY133" s="132"/>
      <c r="AZ133" s="132"/>
      <c r="BA133" s="132"/>
      <c r="BB133" s="132"/>
      <c r="BC133" s="132"/>
      <c r="BD133" s="132"/>
      <c r="BE133" s="132"/>
      <c r="BF133" s="132"/>
      <c r="BG133" s="132"/>
    </row>
    <row r="134" spans="2:59" x14ac:dyDescent="0.45">
      <c r="B134" s="131"/>
      <c r="C134" s="131"/>
      <c r="D134" s="131"/>
      <c r="E134" s="131"/>
      <c r="F134" s="131"/>
      <c r="G134" s="131"/>
      <c r="H134" s="131"/>
      <c r="I134" s="131"/>
      <c r="J134" s="139"/>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c r="AG134" s="132"/>
      <c r="AH134" s="132"/>
      <c r="AI134" s="132"/>
      <c r="AJ134" s="132"/>
      <c r="AK134" s="132"/>
      <c r="AL134" s="132"/>
      <c r="AM134" s="132"/>
      <c r="AN134" s="132"/>
      <c r="AO134" s="132"/>
      <c r="AP134" s="132"/>
      <c r="AQ134" s="132"/>
      <c r="AR134" s="132"/>
      <c r="AS134" s="132"/>
      <c r="AT134" s="132"/>
      <c r="AU134" s="132"/>
      <c r="AV134" s="132"/>
      <c r="AW134" s="132"/>
      <c r="AX134" s="132"/>
      <c r="AY134" s="132"/>
      <c r="AZ134" s="132"/>
      <c r="BA134" s="132"/>
      <c r="BB134" s="132"/>
      <c r="BC134" s="132"/>
      <c r="BD134" s="132"/>
      <c r="BE134" s="132"/>
      <c r="BF134" s="132"/>
      <c r="BG134" s="132"/>
    </row>
    <row r="135" spans="2:59" x14ac:dyDescent="0.45">
      <c r="B135" s="131"/>
      <c r="C135" s="131"/>
      <c r="D135" s="131"/>
      <c r="E135" s="131"/>
      <c r="F135" s="131"/>
      <c r="G135" s="131"/>
      <c r="H135" s="131"/>
      <c r="I135" s="131"/>
      <c r="J135" s="139"/>
      <c r="K135" s="132"/>
      <c r="L135" s="132"/>
      <c r="M135" s="132"/>
      <c r="N135" s="132"/>
      <c r="O135" s="132"/>
      <c r="P135" s="132"/>
      <c r="Q135" s="132"/>
      <c r="R135" s="132"/>
      <c r="S135" s="132"/>
      <c r="T135" s="132"/>
      <c r="U135" s="132"/>
      <c r="V135" s="132"/>
      <c r="W135" s="132"/>
      <c r="X135" s="132"/>
      <c r="Y135" s="132"/>
      <c r="Z135" s="132"/>
      <c r="AA135" s="132"/>
      <c r="AB135" s="132"/>
      <c r="AC135" s="132"/>
      <c r="AD135" s="132"/>
      <c r="AE135" s="132"/>
      <c r="AF135" s="132"/>
      <c r="AG135" s="132"/>
      <c r="AH135" s="132"/>
      <c r="AI135" s="132"/>
      <c r="AJ135" s="132"/>
      <c r="AK135" s="132"/>
      <c r="AL135" s="132"/>
      <c r="AM135" s="132"/>
      <c r="AN135" s="132"/>
      <c r="AO135" s="132"/>
      <c r="AP135" s="132"/>
      <c r="AQ135" s="132"/>
      <c r="AR135" s="132"/>
      <c r="AS135" s="132"/>
      <c r="AT135" s="132"/>
      <c r="AU135" s="132"/>
      <c r="AV135" s="132"/>
      <c r="AW135" s="132"/>
      <c r="AX135" s="132"/>
      <c r="AY135" s="132"/>
      <c r="AZ135" s="132"/>
      <c r="BA135" s="132"/>
      <c r="BB135" s="132"/>
      <c r="BC135" s="132"/>
      <c r="BD135" s="132"/>
      <c r="BE135" s="132"/>
      <c r="BF135" s="132"/>
      <c r="BG135" s="132"/>
    </row>
    <row r="136" spans="2:59" x14ac:dyDescent="0.45">
      <c r="B136" s="131"/>
      <c r="C136" s="131"/>
      <c r="D136" s="131"/>
      <c r="E136" s="131"/>
      <c r="F136" s="131"/>
      <c r="G136" s="131"/>
      <c r="H136" s="131"/>
      <c r="I136" s="131"/>
      <c r="J136" s="139"/>
      <c r="P136" s="132"/>
      <c r="Q136" s="132"/>
      <c r="R136" s="132"/>
      <c r="S136" s="132"/>
      <c r="T136" s="132"/>
      <c r="U136" s="132"/>
      <c r="V136" s="132"/>
      <c r="W136" s="132"/>
      <c r="X136" s="132"/>
      <c r="Y136" s="132"/>
      <c r="Z136" s="132"/>
      <c r="AA136" s="132"/>
      <c r="AB136" s="132"/>
      <c r="AC136" s="132"/>
      <c r="AD136" s="132"/>
      <c r="AE136" s="132"/>
      <c r="AF136" s="132"/>
      <c r="AG136" s="132"/>
      <c r="AH136" s="132"/>
      <c r="AI136" s="132"/>
      <c r="AJ136" s="132"/>
      <c r="AK136" s="132"/>
      <c r="AL136" s="132"/>
      <c r="AM136" s="132"/>
      <c r="AN136" s="132"/>
      <c r="AO136" s="132"/>
      <c r="AP136" s="132"/>
      <c r="AQ136" s="132"/>
      <c r="AR136" s="132"/>
      <c r="AS136" s="132"/>
      <c r="AT136" s="132"/>
      <c r="AU136" s="132"/>
      <c r="AV136" s="132"/>
      <c r="AW136" s="132"/>
      <c r="AX136" s="132"/>
      <c r="AY136" s="132"/>
      <c r="AZ136" s="132"/>
      <c r="BA136" s="132"/>
      <c r="BB136" s="132"/>
      <c r="BC136" s="132"/>
      <c r="BD136" s="132"/>
      <c r="BE136" s="132"/>
      <c r="BF136" s="132"/>
      <c r="BG136" s="132"/>
    </row>
    <row r="137" spans="2:59" x14ac:dyDescent="0.45">
      <c r="B137" s="132"/>
      <c r="C137" s="132"/>
      <c r="D137" s="132"/>
      <c r="E137" s="132"/>
      <c r="F137" s="132"/>
      <c r="G137" s="132"/>
      <c r="H137" s="132"/>
      <c r="I137" s="132"/>
      <c r="J137" s="140"/>
      <c r="P137" s="132"/>
      <c r="Q137" s="132"/>
      <c r="R137" s="132"/>
      <c r="S137" s="132"/>
      <c r="T137" s="132"/>
      <c r="U137" s="132"/>
      <c r="V137" s="132"/>
      <c r="W137" s="132"/>
      <c r="X137" s="132"/>
      <c r="Y137" s="132"/>
      <c r="Z137" s="132"/>
      <c r="AA137" s="132"/>
      <c r="AB137" s="132"/>
      <c r="AC137" s="132"/>
      <c r="AD137" s="132"/>
      <c r="AE137" s="132"/>
      <c r="AF137" s="132"/>
      <c r="AG137" s="132"/>
      <c r="AH137" s="132"/>
      <c r="AI137" s="132"/>
      <c r="AJ137" s="132"/>
      <c r="AK137" s="132"/>
      <c r="AL137" s="132"/>
      <c r="AM137" s="132"/>
      <c r="AN137" s="132"/>
      <c r="AO137" s="132"/>
      <c r="AP137" s="132"/>
      <c r="AQ137" s="132"/>
      <c r="AR137" s="132"/>
      <c r="AS137" s="132"/>
      <c r="AT137" s="132"/>
      <c r="AU137" s="132"/>
      <c r="AV137" s="132"/>
      <c r="AW137" s="132"/>
      <c r="AX137" s="132"/>
      <c r="AY137" s="132"/>
      <c r="AZ137" s="132"/>
      <c r="BA137" s="132"/>
      <c r="BB137" s="132"/>
      <c r="BC137" s="132"/>
      <c r="BD137" s="132"/>
      <c r="BE137" s="132"/>
      <c r="BF137" s="132"/>
      <c r="BG137" s="132"/>
    </row>
    <row r="138" spans="2:59" x14ac:dyDescent="0.45">
      <c r="B138" s="132"/>
      <c r="C138" s="132"/>
      <c r="D138" s="132"/>
      <c r="E138" s="132"/>
      <c r="F138" s="132"/>
      <c r="G138" s="132"/>
      <c r="H138" s="132"/>
      <c r="I138" s="132"/>
      <c r="J138" s="140"/>
      <c r="P138" s="132"/>
      <c r="Q138" s="132"/>
      <c r="R138" s="132"/>
      <c r="S138" s="132"/>
      <c r="T138" s="132"/>
      <c r="U138" s="132"/>
      <c r="V138" s="132"/>
      <c r="W138" s="132"/>
      <c r="X138" s="132"/>
      <c r="Y138" s="132"/>
      <c r="Z138" s="132"/>
      <c r="AA138" s="132"/>
      <c r="AB138" s="132"/>
      <c r="AC138" s="132"/>
      <c r="AD138" s="132"/>
      <c r="AE138" s="132"/>
      <c r="AF138" s="132"/>
      <c r="AG138" s="132"/>
      <c r="AH138" s="132"/>
      <c r="AI138" s="132"/>
      <c r="AJ138" s="132"/>
      <c r="AK138" s="132"/>
      <c r="AL138" s="132"/>
      <c r="AM138" s="132"/>
      <c r="AN138" s="132"/>
      <c r="AO138" s="132"/>
      <c r="AP138" s="132"/>
      <c r="AQ138" s="132"/>
      <c r="AR138" s="132"/>
      <c r="AS138" s="132"/>
      <c r="AT138" s="132"/>
      <c r="AU138" s="132"/>
      <c r="AV138" s="132"/>
      <c r="AW138" s="132"/>
      <c r="AX138" s="132"/>
      <c r="AY138" s="132"/>
      <c r="AZ138" s="132"/>
      <c r="BA138" s="132"/>
      <c r="BB138" s="132"/>
      <c r="BC138" s="132"/>
      <c r="BD138" s="132"/>
      <c r="BE138" s="132"/>
      <c r="BF138" s="132"/>
      <c r="BG138" s="132"/>
    </row>
    <row r="139" spans="2:59" x14ac:dyDescent="0.45">
      <c r="B139" s="132"/>
      <c r="C139" s="132"/>
      <c r="D139" s="132"/>
      <c r="E139" s="132"/>
      <c r="F139" s="132"/>
      <c r="G139" s="132"/>
      <c r="H139" s="132"/>
      <c r="I139" s="132"/>
      <c r="J139" s="140"/>
      <c r="P139" s="132"/>
      <c r="Q139" s="132"/>
      <c r="R139" s="132"/>
      <c r="S139" s="132"/>
      <c r="T139" s="132"/>
      <c r="U139" s="132"/>
      <c r="V139" s="132"/>
      <c r="W139" s="132"/>
      <c r="X139" s="132"/>
      <c r="Y139" s="132"/>
      <c r="Z139" s="132"/>
      <c r="AA139" s="132"/>
      <c r="AB139" s="132"/>
      <c r="AC139" s="132"/>
      <c r="AD139" s="132"/>
      <c r="AE139" s="132"/>
      <c r="AF139" s="132"/>
      <c r="AG139" s="132"/>
      <c r="AH139" s="132"/>
      <c r="AI139" s="132"/>
      <c r="AJ139" s="132"/>
      <c r="AK139" s="132"/>
      <c r="AL139" s="132"/>
      <c r="AM139" s="132"/>
      <c r="AN139" s="132"/>
      <c r="AO139" s="132"/>
      <c r="AP139" s="132"/>
      <c r="AQ139" s="132"/>
      <c r="AR139" s="132"/>
      <c r="AS139" s="132"/>
      <c r="AT139" s="132"/>
      <c r="AU139" s="132"/>
      <c r="AV139" s="132"/>
      <c r="AW139" s="132"/>
      <c r="AX139" s="132"/>
      <c r="AY139" s="132"/>
      <c r="AZ139" s="132"/>
      <c r="BA139" s="132"/>
      <c r="BB139" s="132"/>
      <c r="BC139" s="132"/>
      <c r="BD139" s="132"/>
      <c r="BE139" s="132"/>
      <c r="BF139" s="132"/>
      <c r="BG139" s="132"/>
    </row>
    <row r="140" spans="2:59" x14ac:dyDescent="0.45">
      <c r="B140" s="132"/>
      <c r="C140" s="132"/>
      <c r="D140" s="132"/>
      <c r="E140" s="132"/>
      <c r="F140" s="132"/>
      <c r="G140" s="132"/>
      <c r="H140" s="132"/>
      <c r="I140" s="132"/>
      <c r="J140" s="140"/>
    </row>
    <row r="141" spans="2:59" x14ac:dyDescent="0.45">
      <c r="B141" s="132"/>
      <c r="C141" s="132"/>
      <c r="D141" s="132"/>
      <c r="E141" s="132"/>
      <c r="F141" s="132"/>
      <c r="G141" s="132"/>
      <c r="H141" s="132"/>
      <c r="I141" s="132"/>
      <c r="J141" s="140"/>
    </row>
  </sheetData>
  <mergeCells count="20">
    <mergeCell ref="A1:A3"/>
    <mergeCell ref="B1:I1"/>
    <mergeCell ref="B2:I2"/>
    <mergeCell ref="B3:I3"/>
    <mergeCell ref="B8:I10"/>
    <mergeCell ref="B6:C7"/>
    <mergeCell ref="H6:I7"/>
    <mergeCell ref="B11:C12"/>
    <mergeCell ref="H11:I12"/>
    <mergeCell ref="D6:G7"/>
    <mergeCell ref="D11:G12"/>
    <mergeCell ref="B13:I15"/>
    <mergeCell ref="B21:I21"/>
    <mergeCell ref="B16:C17"/>
    <mergeCell ref="H16:I17"/>
    <mergeCell ref="D16:G17"/>
    <mergeCell ref="B18:I18"/>
    <mergeCell ref="B19:C20"/>
    <mergeCell ref="D19:G20"/>
    <mergeCell ref="H19:I20"/>
  </mergeCells>
  <printOptions horizontalCentered="1" verticalCentered="1"/>
  <pageMargins left="0.70866141732283472" right="0.70866141732283472" top="0.43307086614173229" bottom="0.74803149606299213" header="0.31496062992125984" footer="0.31496062992125984"/>
  <pageSetup scale="81" orientation="landscape" r:id="rId1"/>
  <headerFooter alignWithMargins="0">
    <oddFooter>&amp;R&amp;"Arial,Normal"&amp;12Página &amp;P de &amp;N</oddFooter>
  </headerFooter>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fitToPage="1"/>
  </sheetPr>
  <dimension ref="A1:AS170"/>
  <sheetViews>
    <sheetView showGridLines="0" showZeros="0" showOutlineSymbols="0" zoomScale="75" zoomScaleNormal="75" zoomScaleSheetLayoutView="100" zoomScalePageLayoutView="60" workbookViewId="0">
      <selection activeCell="B19" sqref="B19:C19"/>
    </sheetView>
  </sheetViews>
  <sheetFormatPr baseColWidth="10" defaultColWidth="11.3984375" defaultRowHeight="12.75" x14ac:dyDescent="0.35"/>
  <cols>
    <col min="1" max="1" width="20.86328125" style="21" customWidth="1"/>
    <col min="2" max="4" width="11.3984375" style="21"/>
    <col min="5" max="16384" width="11.3984375" style="20"/>
  </cols>
  <sheetData>
    <row r="1" spans="1:45" s="129" customFormat="1" ht="18.75" customHeight="1" thickBot="1" x14ac:dyDescent="0.5">
      <c r="A1" s="358"/>
      <c r="B1" s="358"/>
      <c r="C1" s="384" t="s">
        <v>298</v>
      </c>
      <c r="D1" s="384"/>
      <c r="E1" s="384"/>
      <c r="F1" s="384"/>
      <c r="G1" s="384"/>
      <c r="H1" s="384"/>
      <c r="I1" s="384"/>
      <c r="J1" s="384"/>
      <c r="K1" s="384"/>
      <c r="L1" s="384"/>
      <c r="M1" s="384"/>
      <c r="N1" s="385" t="s">
        <v>181</v>
      </c>
      <c r="O1" s="385"/>
      <c r="P1" s="128"/>
    </row>
    <row r="2" spans="1:45" s="129" customFormat="1" ht="18.75" customHeight="1" thickBot="1" x14ac:dyDescent="0.5">
      <c r="A2" s="358"/>
      <c r="B2" s="358"/>
      <c r="C2" s="448" t="s">
        <v>182</v>
      </c>
      <c r="D2" s="449"/>
      <c r="E2" s="449"/>
      <c r="F2" s="449"/>
      <c r="G2" s="449"/>
      <c r="H2" s="449"/>
      <c r="I2" s="449"/>
      <c r="J2" s="449"/>
      <c r="K2" s="449"/>
      <c r="L2" s="449"/>
      <c r="M2" s="450"/>
      <c r="N2" s="387" t="s">
        <v>184</v>
      </c>
      <c r="O2" s="387"/>
      <c r="P2" s="128"/>
    </row>
    <row r="3" spans="1:45" s="129" customFormat="1" ht="18.75" customHeight="1" thickBot="1" x14ac:dyDescent="0.5">
      <c r="A3" s="358"/>
      <c r="B3" s="358"/>
      <c r="C3" s="451"/>
      <c r="D3" s="452"/>
      <c r="E3" s="452"/>
      <c r="F3" s="452"/>
      <c r="G3" s="452"/>
      <c r="H3" s="452"/>
      <c r="I3" s="452"/>
      <c r="J3" s="452"/>
      <c r="K3" s="452"/>
      <c r="L3" s="452"/>
      <c r="M3" s="453"/>
      <c r="N3" s="387"/>
      <c r="O3" s="387"/>
      <c r="P3" s="128"/>
    </row>
    <row r="4" spans="1:45" s="129" customFormat="1" ht="18.75" customHeight="1" thickBot="1" x14ac:dyDescent="0.5">
      <c r="A4" s="358"/>
      <c r="B4" s="358"/>
      <c r="C4" s="422" t="s">
        <v>138</v>
      </c>
      <c r="D4" s="423"/>
      <c r="E4" s="423"/>
      <c r="F4" s="423"/>
      <c r="G4" s="423"/>
      <c r="H4" s="423"/>
      <c r="I4" s="423"/>
      <c r="J4" s="423"/>
      <c r="K4" s="423"/>
      <c r="L4" s="423"/>
      <c r="M4" s="424"/>
      <c r="N4" s="389">
        <v>43854</v>
      </c>
      <c r="O4" s="389"/>
      <c r="P4" s="128"/>
    </row>
    <row r="5" spans="1:45" s="129" customFormat="1" ht="18.75" customHeight="1" x14ac:dyDescent="0.45">
      <c r="A5" s="123"/>
      <c r="B5" s="147"/>
      <c r="C5" s="147"/>
      <c r="D5" s="147"/>
      <c r="E5" s="147"/>
      <c r="F5" s="147"/>
      <c r="G5" s="147"/>
      <c r="H5" s="147"/>
      <c r="I5" s="147"/>
      <c r="J5" s="148"/>
      <c r="L5" s="143"/>
      <c r="M5" s="128"/>
      <c r="N5" s="128"/>
      <c r="O5" s="128"/>
      <c r="P5" s="128"/>
    </row>
    <row r="6" spans="1:45" ht="43.5" customHeight="1" x14ac:dyDescent="0.35">
      <c r="A6" s="18"/>
      <c r="B6" s="429" t="s">
        <v>136</v>
      </c>
      <c r="C6" s="430"/>
      <c r="D6" s="430"/>
      <c r="E6" s="430"/>
      <c r="F6" s="430"/>
      <c r="G6" s="430"/>
      <c r="H6" s="430"/>
      <c r="I6" s="430"/>
      <c r="J6" s="430"/>
      <c r="K6" s="430"/>
      <c r="L6" s="430"/>
      <c r="M6" s="431"/>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9"/>
      <c r="AR6" s="19"/>
    </row>
    <row r="7" spans="1:45" ht="45.75" customHeight="1" x14ac:dyDescent="0.35">
      <c r="A7" s="18"/>
      <c r="B7" s="433" t="s">
        <v>283</v>
      </c>
      <c r="C7" s="434"/>
      <c r="D7" s="434"/>
      <c r="E7" s="434"/>
      <c r="F7" s="434"/>
      <c r="G7" s="434"/>
      <c r="H7" s="434"/>
      <c r="I7" s="434"/>
      <c r="J7" s="434"/>
      <c r="K7" s="434"/>
      <c r="L7" s="434"/>
      <c r="M7" s="435"/>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9"/>
      <c r="AR7" s="19"/>
    </row>
    <row r="8" spans="1:45" ht="45.75" customHeight="1" x14ac:dyDescent="0.35">
      <c r="A8" s="18"/>
      <c r="B8" s="436"/>
      <c r="C8" s="437"/>
      <c r="D8" s="437"/>
      <c r="E8" s="437"/>
      <c r="F8" s="437"/>
      <c r="G8" s="437"/>
      <c r="H8" s="437"/>
      <c r="I8" s="437"/>
      <c r="J8" s="437"/>
      <c r="K8" s="437"/>
      <c r="L8" s="437"/>
      <c r="M8" s="43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9"/>
      <c r="AR8" s="19"/>
    </row>
    <row r="9" spans="1:45" ht="45.75" customHeight="1" x14ac:dyDescent="0.35">
      <c r="A9" s="18"/>
      <c r="B9" s="436"/>
      <c r="C9" s="437"/>
      <c r="D9" s="437"/>
      <c r="E9" s="437"/>
      <c r="F9" s="437"/>
      <c r="G9" s="437"/>
      <c r="H9" s="437"/>
      <c r="I9" s="437"/>
      <c r="J9" s="437"/>
      <c r="K9" s="437"/>
      <c r="L9" s="437"/>
      <c r="M9" s="43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9"/>
      <c r="AR9" s="19"/>
    </row>
    <row r="10" spans="1:45" ht="43.5" customHeight="1" x14ac:dyDescent="0.35">
      <c r="A10" s="18"/>
      <c r="B10" s="432" t="s">
        <v>189</v>
      </c>
      <c r="C10" s="432"/>
      <c r="D10" s="432"/>
      <c r="E10" s="432"/>
      <c r="F10" s="432"/>
      <c r="G10" s="432"/>
      <c r="H10" s="432"/>
      <c r="I10" s="432"/>
      <c r="J10" s="432"/>
      <c r="K10" s="432"/>
      <c r="L10" s="432"/>
      <c r="M10" s="432"/>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9"/>
      <c r="AR10" s="19"/>
      <c r="AS10" s="19"/>
    </row>
    <row r="11" spans="1:45" ht="62.25" customHeight="1" x14ac:dyDescent="0.35">
      <c r="A11" s="18"/>
      <c r="B11" s="439" t="s">
        <v>372</v>
      </c>
      <c r="C11" s="440"/>
      <c r="D11" s="440"/>
      <c r="E11" s="440"/>
      <c r="F11" s="440"/>
      <c r="G11" s="440"/>
      <c r="H11" s="440"/>
      <c r="I11" s="440"/>
      <c r="J11" s="440"/>
      <c r="K11" s="440"/>
      <c r="L11" s="440"/>
      <c r="M11" s="441"/>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9"/>
      <c r="AR11" s="19"/>
      <c r="AS11" s="19"/>
    </row>
    <row r="12" spans="1:45" ht="62.25" customHeight="1" x14ac:dyDescent="0.35">
      <c r="A12" s="18"/>
      <c r="B12" s="442"/>
      <c r="C12" s="443"/>
      <c r="D12" s="443"/>
      <c r="E12" s="443"/>
      <c r="F12" s="443"/>
      <c r="G12" s="443"/>
      <c r="H12" s="443"/>
      <c r="I12" s="443"/>
      <c r="J12" s="443"/>
      <c r="K12" s="443"/>
      <c r="L12" s="443"/>
      <c r="M12" s="444"/>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9"/>
      <c r="AR12" s="19"/>
      <c r="AS12" s="19"/>
    </row>
    <row r="13" spans="1:45" ht="62.25" customHeight="1" x14ac:dyDescent="0.35">
      <c r="A13" s="18"/>
      <c r="B13" s="442"/>
      <c r="C13" s="443"/>
      <c r="D13" s="443"/>
      <c r="E13" s="443"/>
      <c r="F13" s="443"/>
      <c r="G13" s="443"/>
      <c r="H13" s="443"/>
      <c r="I13" s="443"/>
      <c r="J13" s="443"/>
      <c r="K13" s="443"/>
      <c r="L13" s="443"/>
      <c r="M13" s="444"/>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9"/>
      <c r="AR13" s="19"/>
      <c r="AS13" s="19"/>
    </row>
    <row r="14" spans="1:45" ht="62.25" customHeight="1" x14ac:dyDescent="0.35">
      <c r="A14" s="18"/>
      <c r="B14" s="442"/>
      <c r="C14" s="443"/>
      <c r="D14" s="443"/>
      <c r="E14" s="443"/>
      <c r="F14" s="443"/>
      <c r="G14" s="443"/>
      <c r="H14" s="443"/>
      <c r="I14" s="443"/>
      <c r="J14" s="443"/>
      <c r="K14" s="443"/>
      <c r="L14" s="443"/>
      <c r="M14" s="444"/>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9"/>
      <c r="AR14" s="19"/>
      <c r="AS14" s="19"/>
    </row>
    <row r="15" spans="1:45" ht="62.25" customHeight="1" x14ac:dyDescent="0.35">
      <c r="A15" s="18"/>
      <c r="B15" s="442"/>
      <c r="C15" s="443"/>
      <c r="D15" s="443"/>
      <c r="E15" s="443"/>
      <c r="F15" s="443"/>
      <c r="G15" s="443"/>
      <c r="H15" s="443"/>
      <c r="I15" s="443"/>
      <c r="J15" s="443"/>
      <c r="K15" s="443"/>
      <c r="L15" s="443"/>
      <c r="M15" s="444"/>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9"/>
      <c r="AR15" s="19"/>
      <c r="AS15" s="19"/>
    </row>
    <row r="16" spans="1:45" ht="62.25" customHeight="1" x14ac:dyDescent="0.35">
      <c r="A16" s="18"/>
      <c r="B16" s="445"/>
      <c r="C16" s="446"/>
      <c r="D16" s="446"/>
      <c r="E16" s="446"/>
      <c r="F16" s="446"/>
      <c r="G16" s="446"/>
      <c r="H16" s="446"/>
      <c r="I16" s="446"/>
      <c r="J16" s="446"/>
      <c r="K16" s="446"/>
      <c r="L16" s="446"/>
      <c r="M16" s="447"/>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9"/>
      <c r="AR16" s="19"/>
      <c r="AS16" s="19"/>
    </row>
    <row r="17" spans="1:45" ht="13.5" x14ac:dyDescent="0.3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9"/>
      <c r="AR17" s="19"/>
      <c r="AS17" s="19"/>
    </row>
    <row r="18" spans="1:45" ht="13.5" x14ac:dyDescent="0.3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9"/>
      <c r="AR18" s="19"/>
      <c r="AS18" s="19"/>
    </row>
    <row r="19" spans="1:45" ht="13.5" x14ac:dyDescent="0.3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9"/>
      <c r="AR19" s="19"/>
      <c r="AS19" s="19"/>
    </row>
    <row r="20" spans="1:45" ht="13.5" x14ac:dyDescent="0.3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9"/>
      <c r="AR20" s="19"/>
      <c r="AS20" s="19"/>
    </row>
    <row r="21" spans="1:45" ht="13.5" x14ac:dyDescent="0.3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9"/>
      <c r="AR21" s="19"/>
      <c r="AS21" s="19"/>
    </row>
    <row r="22" spans="1:45" ht="13.5" x14ac:dyDescent="0.3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9"/>
      <c r="AR22" s="19"/>
      <c r="AS22" s="19"/>
    </row>
    <row r="23" spans="1:45" ht="13.5" x14ac:dyDescent="0.35">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9"/>
      <c r="AR23" s="19"/>
      <c r="AS23" s="19"/>
    </row>
    <row r="24" spans="1:45" ht="13.5" x14ac:dyDescent="0.35">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9"/>
      <c r="AR24" s="19"/>
      <c r="AS24" s="19"/>
    </row>
    <row r="25" spans="1:45" ht="13.5" x14ac:dyDescent="0.35">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9"/>
      <c r="AR25" s="19"/>
      <c r="AS25" s="19"/>
    </row>
    <row r="26" spans="1:45" ht="13.5" x14ac:dyDescent="0.35">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9"/>
      <c r="AR26" s="19"/>
      <c r="AS26" s="19"/>
    </row>
    <row r="27" spans="1:45" ht="13.5" x14ac:dyDescent="0.35">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9"/>
      <c r="AR27" s="19"/>
      <c r="AS27" s="19"/>
    </row>
    <row r="28" spans="1:45" ht="13.5" x14ac:dyDescent="0.35">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9"/>
      <c r="AR28" s="19"/>
      <c r="AS28" s="19"/>
    </row>
    <row r="29" spans="1:45" ht="13.5" x14ac:dyDescent="0.35">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9"/>
      <c r="AR29" s="19"/>
      <c r="AS29" s="19"/>
    </row>
    <row r="30" spans="1:45" ht="13.5" x14ac:dyDescent="0.35">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9"/>
      <c r="AR30" s="19"/>
      <c r="AS30" s="19"/>
    </row>
    <row r="31" spans="1:45" ht="13.5" x14ac:dyDescent="0.35">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9"/>
      <c r="AR31" s="19"/>
      <c r="AS31" s="19"/>
    </row>
    <row r="32" spans="1:45" ht="13.5" x14ac:dyDescent="0.35">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9"/>
      <c r="AR32" s="19"/>
      <c r="AS32" s="19"/>
    </row>
    <row r="33" spans="1:45" ht="13.5" x14ac:dyDescent="0.35">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9"/>
      <c r="AR33" s="19"/>
      <c r="AS33" s="19"/>
    </row>
    <row r="34" spans="1:45" ht="13.5" x14ac:dyDescent="0.35">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9"/>
      <c r="AR34" s="19"/>
      <c r="AS34" s="19"/>
    </row>
    <row r="35" spans="1:45" ht="13.5" x14ac:dyDescent="0.35">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9"/>
      <c r="AR35" s="19"/>
      <c r="AS35" s="19"/>
    </row>
    <row r="36" spans="1:45" ht="13.5" x14ac:dyDescent="0.35">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9"/>
      <c r="AR36" s="19"/>
      <c r="AS36" s="19"/>
    </row>
    <row r="37" spans="1:45" ht="13.5" x14ac:dyDescent="0.35">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9"/>
      <c r="AR37" s="19"/>
      <c r="AS37" s="19"/>
    </row>
    <row r="38" spans="1:45" ht="13.5" x14ac:dyDescent="0.35">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9"/>
      <c r="AR38" s="19"/>
      <c r="AS38" s="19"/>
    </row>
    <row r="39" spans="1:45" ht="13.5" x14ac:dyDescent="0.35">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9"/>
      <c r="AR39" s="19"/>
      <c r="AS39" s="19"/>
    </row>
    <row r="40" spans="1:45" ht="13.5" x14ac:dyDescent="0.35">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9"/>
      <c r="AR40" s="19"/>
      <c r="AS40" s="19"/>
    </row>
    <row r="41" spans="1:45" ht="13.5" x14ac:dyDescent="0.35">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9"/>
      <c r="AR41" s="19"/>
      <c r="AS41" s="19"/>
    </row>
    <row r="42" spans="1:45" ht="13.5" x14ac:dyDescent="0.35">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9"/>
      <c r="AR42" s="19"/>
      <c r="AS42" s="19"/>
    </row>
    <row r="43" spans="1:45" ht="13.5" x14ac:dyDescent="0.35">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9"/>
      <c r="AR43" s="19"/>
      <c r="AS43" s="19"/>
    </row>
    <row r="44" spans="1:45" ht="13.5" x14ac:dyDescent="0.3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9"/>
      <c r="AR44" s="19"/>
      <c r="AS44" s="19"/>
    </row>
    <row r="45" spans="1:45" ht="13.5" x14ac:dyDescent="0.3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9"/>
      <c r="AR45" s="19"/>
      <c r="AS45" s="19"/>
    </row>
    <row r="46" spans="1:45" ht="13.5" x14ac:dyDescent="0.3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9"/>
      <c r="AR46" s="19"/>
      <c r="AS46" s="19"/>
    </row>
    <row r="47" spans="1:45" ht="13.5"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9"/>
      <c r="AR47" s="19"/>
      <c r="AS47" s="19"/>
    </row>
    <row r="48" spans="1:45" ht="13.5"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9"/>
      <c r="AR48" s="19"/>
      <c r="AS48" s="19"/>
    </row>
    <row r="49" spans="1:45" ht="13.5"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9"/>
      <c r="AR49" s="19"/>
      <c r="AS49" s="19"/>
    </row>
    <row r="50" spans="1:45" ht="13.5"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9"/>
      <c r="AR50" s="19"/>
      <c r="AS50" s="19"/>
    </row>
    <row r="51" spans="1:45" ht="13.5"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9"/>
      <c r="AR51" s="19"/>
      <c r="AS51" s="19"/>
    </row>
    <row r="52" spans="1:45" ht="13.5"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9"/>
      <c r="AR52" s="19"/>
      <c r="AS52" s="19"/>
    </row>
    <row r="53" spans="1:45" ht="13.5"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9"/>
      <c r="AR53" s="19"/>
      <c r="AS53" s="19"/>
    </row>
    <row r="54" spans="1:45" ht="13.5"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9"/>
      <c r="AR54" s="19"/>
      <c r="AS54" s="19"/>
    </row>
    <row r="55" spans="1:45" ht="13.5"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9"/>
      <c r="AR55" s="19"/>
      <c r="AS55" s="19"/>
    </row>
    <row r="56" spans="1:45" ht="13.5"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9"/>
      <c r="AR56" s="19"/>
      <c r="AS56" s="19"/>
    </row>
    <row r="57" spans="1:45" ht="13.5"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9"/>
      <c r="AR57" s="19"/>
      <c r="AS57" s="19"/>
    </row>
    <row r="58" spans="1:45" ht="13.5"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9"/>
      <c r="AR58" s="19"/>
      <c r="AS58" s="19"/>
    </row>
    <row r="59" spans="1:45" ht="13.5"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9"/>
      <c r="AR59" s="19"/>
      <c r="AS59" s="19"/>
    </row>
    <row r="60" spans="1:45" ht="13.5"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9"/>
      <c r="AR60" s="19"/>
      <c r="AS60" s="19"/>
    </row>
    <row r="61" spans="1:45" ht="13.5"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9"/>
      <c r="AR61" s="19"/>
      <c r="AS61" s="19"/>
    </row>
    <row r="62" spans="1:45" ht="13.5"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9"/>
      <c r="AR62" s="19"/>
      <c r="AS62" s="19"/>
    </row>
    <row r="63" spans="1:45" ht="13.5"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9"/>
      <c r="AR63" s="19"/>
      <c r="AS63" s="19"/>
    </row>
    <row r="64" spans="1:45" ht="13.5"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9"/>
      <c r="AR64" s="19"/>
      <c r="AS64" s="19"/>
    </row>
    <row r="65" spans="1:45" ht="13.5"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9"/>
      <c r="AR65" s="19"/>
      <c r="AS65" s="19"/>
    </row>
    <row r="66" spans="1:45" ht="13.5"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9"/>
      <c r="AR66" s="19"/>
      <c r="AS66" s="19"/>
    </row>
    <row r="67" spans="1:45" ht="13.5"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9"/>
      <c r="AR67" s="19"/>
      <c r="AS67" s="19"/>
    </row>
    <row r="68" spans="1:45" ht="13.5"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9"/>
      <c r="AR68" s="19"/>
      <c r="AS68" s="19"/>
    </row>
    <row r="69" spans="1:45" ht="13.5"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9"/>
      <c r="AR69" s="19"/>
      <c r="AS69" s="19"/>
    </row>
    <row r="70" spans="1:45" ht="13.5"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9"/>
      <c r="AR70" s="19"/>
      <c r="AS70" s="19"/>
    </row>
    <row r="71" spans="1:45" ht="13.5"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9"/>
      <c r="AR71" s="19"/>
      <c r="AS71" s="19"/>
    </row>
    <row r="72" spans="1:45" ht="13.5"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9"/>
      <c r="AR72" s="19"/>
      <c r="AS72" s="19"/>
    </row>
    <row r="73" spans="1:45" ht="13.5"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9"/>
      <c r="AR73" s="19"/>
      <c r="AS73" s="19"/>
    </row>
    <row r="74" spans="1:45" ht="13.5"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9"/>
      <c r="AR74" s="19"/>
      <c r="AS74" s="19"/>
    </row>
    <row r="75" spans="1:45" ht="13.5"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9"/>
      <c r="AR75" s="19"/>
      <c r="AS75" s="19"/>
    </row>
    <row r="76" spans="1:45" ht="13.5"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9"/>
      <c r="AR76" s="19"/>
      <c r="AS76" s="19"/>
    </row>
    <row r="77" spans="1:45" ht="13.5"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9"/>
      <c r="AR77" s="19"/>
      <c r="AS77" s="19"/>
    </row>
    <row r="78" spans="1:45" ht="13.5"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9"/>
      <c r="AR78" s="19"/>
      <c r="AS78" s="19"/>
    </row>
    <row r="79" spans="1:45" ht="13.5"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9"/>
      <c r="AR79" s="19"/>
      <c r="AS79" s="19"/>
    </row>
    <row r="80" spans="1:45" ht="13.5"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9"/>
      <c r="AR80" s="19"/>
      <c r="AS80" s="19"/>
    </row>
    <row r="81" spans="1:45" ht="13.5"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9"/>
      <c r="AR81" s="19"/>
      <c r="AS81" s="19"/>
    </row>
    <row r="82" spans="1:45" ht="13.5"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9"/>
      <c r="AR82" s="19"/>
      <c r="AS82" s="19"/>
    </row>
    <row r="83" spans="1:45" ht="13.5"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9"/>
      <c r="AR83" s="19"/>
      <c r="AS83" s="19"/>
    </row>
    <row r="84" spans="1:45" ht="13.5"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9"/>
      <c r="AR84" s="19"/>
      <c r="AS84" s="19"/>
    </row>
    <row r="85" spans="1:45" ht="13.5"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9"/>
      <c r="AR85" s="19"/>
      <c r="AS85" s="19"/>
    </row>
    <row r="86" spans="1:45" ht="13.5"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9"/>
      <c r="AR86" s="19"/>
      <c r="AS86" s="19"/>
    </row>
    <row r="87" spans="1:45" ht="13.5"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9"/>
      <c r="AR87" s="19"/>
      <c r="AS87" s="19"/>
    </row>
    <row r="88" spans="1:45" ht="13.5"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9"/>
      <c r="AR88" s="19"/>
      <c r="AS88" s="19"/>
    </row>
    <row r="89" spans="1:45" ht="13.5"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9"/>
      <c r="AR89" s="19"/>
      <c r="AS89" s="19"/>
    </row>
    <row r="90" spans="1:45" ht="13.5"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9"/>
      <c r="AR90" s="19"/>
      <c r="AS90" s="19"/>
    </row>
    <row r="91" spans="1:45" ht="13.5"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9"/>
      <c r="AR91" s="19"/>
      <c r="AS91" s="19"/>
    </row>
    <row r="92" spans="1:45" ht="13.5"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9"/>
      <c r="AR92" s="19"/>
      <c r="AS92" s="19"/>
    </row>
    <row r="93" spans="1:45" ht="13.5"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9"/>
      <c r="AR93" s="19"/>
      <c r="AS93" s="19"/>
    </row>
    <row r="94" spans="1:45" ht="13.5"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9"/>
      <c r="AR94" s="19"/>
      <c r="AS94" s="19"/>
    </row>
    <row r="95" spans="1:45" ht="13.5"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9"/>
      <c r="AR95" s="19"/>
      <c r="AS95" s="19"/>
    </row>
    <row r="96" spans="1:45" ht="13.5"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9"/>
      <c r="AR96" s="19"/>
      <c r="AS96" s="19"/>
    </row>
    <row r="97" spans="1:45" ht="13.5"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9"/>
      <c r="AR97" s="19"/>
      <c r="AS97" s="19"/>
    </row>
    <row r="98" spans="1:45" ht="13.5"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9"/>
      <c r="AR98" s="19"/>
      <c r="AS98" s="19"/>
    </row>
    <row r="99" spans="1:45" ht="13.5"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9"/>
      <c r="AR99" s="19"/>
      <c r="AS99" s="19"/>
    </row>
    <row r="100" spans="1:45" ht="13.5"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9"/>
      <c r="AR100" s="19"/>
      <c r="AS100" s="19"/>
    </row>
    <row r="101" spans="1:45" ht="13.5"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9"/>
      <c r="AR101" s="19"/>
      <c r="AS101" s="19"/>
    </row>
    <row r="102" spans="1:45" ht="13.5"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9"/>
      <c r="AR102" s="19"/>
      <c r="AS102" s="19"/>
    </row>
    <row r="103" spans="1:45" ht="13.5"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9"/>
      <c r="AR103" s="19"/>
      <c r="AS103" s="19"/>
    </row>
    <row r="104" spans="1:45" ht="13.5"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9"/>
      <c r="AR104" s="19"/>
      <c r="AS104" s="19"/>
    </row>
    <row r="105" spans="1:45" ht="13.5"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9"/>
      <c r="AR105" s="19"/>
      <c r="AS105" s="19"/>
    </row>
    <row r="106" spans="1:45" ht="13.5"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9"/>
      <c r="AR106" s="19"/>
      <c r="AS106" s="19"/>
    </row>
    <row r="107" spans="1:45" ht="13.5"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9"/>
      <c r="AR107" s="19"/>
      <c r="AS107" s="19"/>
    </row>
    <row r="108" spans="1:45" ht="13.5"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9"/>
      <c r="AR108" s="19"/>
      <c r="AS108" s="19"/>
    </row>
    <row r="109" spans="1:45" ht="13.5"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9"/>
      <c r="AR109" s="19"/>
      <c r="AS109" s="19"/>
    </row>
    <row r="110" spans="1:45" ht="13.5"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9"/>
      <c r="AR110" s="19"/>
      <c r="AS110" s="19"/>
    </row>
    <row r="111" spans="1:45" ht="13.5"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9"/>
      <c r="AR111" s="19"/>
      <c r="AS111" s="19"/>
    </row>
    <row r="112" spans="1:45" ht="13.5"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9"/>
      <c r="AR112" s="19"/>
      <c r="AS112" s="19"/>
    </row>
    <row r="113" spans="1:45" ht="13.5"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9"/>
      <c r="AR113" s="19"/>
      <c r="AS113" s="19"/>
    </row>
    <row r="114" spans="1:45" ht="13.5"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9"/>
      <c r="AR114" s="19"/>
      <c r="AS114" s="19"/>
    </row>
    <row r="115" spans="1:45" ht="13.5"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9"/>
      <c r="AR115" s="19"/>
      <c r="AS115" s="19"/>
    </row>
    <row r="116" spans="1:45" ht="13.5"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9"/>
      <c r="AR116" s="19"/>
      <c r="AS116" s="19"/>
    </row>
    <row r="117" spans="1:45" ht="13.5"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9"/>
      <c r="AR117" s="19"/>
      <c r="AS117" s="19"/>
    </row>
    <row r="118" spans="1:45" ht="13.5"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9"/>
      <c r="AR118" s="19"/>
      <c r="AS118" s="19"/>
    </row>
    <row r="119" spans="1:45" ht="13.5"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9"/>
      <c r="AR119" s="19"/>
      <c r="AS119" s="19"/>
    </row>
    <row r="120" spans="1:45" ht="13.5"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9"/>
      <c r="AR120" s="19"/>
      <c r="AS120" s="19"/>
    </row>
    <row r="121" spans="1:45" ht="13.5"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9"/>
      <c r="AR121" s="19"/>
      <c r="AS121" s="19"/>
    </row>
    <row r="122" spans="1:45" ht="13.5" x14ac:dyDescent="0.3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9"/>
      <c r="AR122" s="19"/>
      <c r="AS122" s="19"/>
    </row>
    <row r="123" spans="1:45" ht="13.5" x14ac:dyDescent="0.3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9"/>
      <c r="AR123" s="19"/>
      <c r="AS123" s="19"/>
    </row>
    <row r="124" spans="1:45" ht="13.5" x14ac:dyDescent="0.3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9"/>
      <c r="AR124" s="19"/>
      <c r="AS124" s="19"/>
    </row>
    <row r="125" spans="1:45" ht="13.5" x14ac:dyDescent="0.3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9"/>
      <c r="AR125" s="19"/>
      <c r="AS125" s="19"/>
    </row>
    <row r="126" spans="1:45" ht="13.5" x14ac:dyDescent="0.3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9"/>
      <c r="AR126" s="19"/>
      <c r="AS126" s="19"/>
    </row>
    <row r="127" spans="1:45" ht="13.5" x14ac:dyDescent="0.3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9"/>
      <c r="AR127" s="19"/>
      <c r="AS127" s="19"/>
    </row>
    <row r="128" spans="1:45" ht="13.5" x14ac:dyDescent="0.3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9"/>
      <c r="AR128" s="19"/>
      <c r="AS128" s="19"/>
    </row>
    <row r="129" spans="1:45" ht="13.5" x14ac:dyDescent="0.3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9"/>
      <c r="AR129" s="19"/>
      <c r="AS129" s="19"/>
    </row>
    <row r="130" spans="1:45" ht="13.5" x14ac:dyDescent="0.3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9"/>
      <c r="AR130" s="19"/>
      <c r="AS130" s="19"/>
    </row>
    <row r="131" spans="1:45" ht="13.5" x14ac:dyDescent="0.3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9"/>
      <c r="AR131" s="19"/>
      <c r="AS131" s="19"/>
    </row>
    <row r="132" spans="1:45" ht="13.5" x14ac:dyDescent="0.3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9"/>
      <c r="AR132" s="19"/>
      <c r="AS132" s="19"/>
    </row>
    <row r="133" spans="1:45" ht="13.5" x14ac:dyDescent="0.3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9"/>
      <c r="AR133" s="19"/>
      <c r="AS133" s="19"/>
    </row>
    <row r="134" spans="1:45" ht="13.5" x14ac:dyDescent="0.3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9"/>
      <c r="AR134" s="19"/>
      <c r="AS134" s="19"/>
    </row>
    <row r="135" spans="1:45" ht="13.5" x14ac:dyDescent="0.3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9"/>
      <c r="AR135" s="19"/>
      <c r="AS135" s="19"/>
    </row>
    <row r="136" spans="1:45" ht="13.5" x14ac:dyDescent="0.3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9"/>
      <c r="AR136" s="19"/>
      <c r="AS136" s="19"/>
    </row>
    <row r="137" spans="1:45" ht="13.5" x14ac:dyDescent="0.3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9"/>
      <c r="AR137" s="19"/>
      <c r="AS137" s="19"/>
    </row>
    <row r="138" spans="1:45" ht="13.5" x14ac:dyDescent="0.3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9"/>
      <c r="AR138" s="19"/>
      <c r="AS138" s="19"/>
    </row>
    <row r="139" spans="1:45" ht="13.5" x14ac:dyDescent="0.3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9"/>
      <c r="AR139" s="19"/>
      <c r="AS139" s="19"/>
    </row>
    <row r="140" spans="1:45" ht="13.5" x14ac:dyDescent="0.3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9"/>
      <c r="AR140" s="19"/>
      <c r="AS140" s="19"/>
    </row>
    <row r="141" spans="1:45" ht="13.5" x14ac:dyDescent="0.3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9"/>
      <c r="AR141" s="19"/>
      <c r="AS141" s="19"/>
    </row>
    <row r="142" spans="1:45" ht="13.5" x14ac:dyDescent="0.3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9"/>
      <c r="AR142" s="19"/>
      <c r="AS142" s="19"/>
    </row>
    <row r="143" spans="1:45" ht="13.5" x14ac:dyDescent="0.3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9"/>
      <c r="AR143" s="19"/>
      <c r="AS143" s="19"/>
    </row>
    <row r="144" spans="1:45" ht="13.5" x14ac:dyDescent="0.3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9"/>
      <c r="AR144" s="19"/>
      <c r="AS144" s="19"/>
    </row>
    <row r="145" spans="1:45" ht="13.5" x14ac:dyDescent="0.3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9"/>
      <c r="AR145" s="19"/>
      <c r="AS145" s="19"/>
    </row>
    <row r="146" spans="1:45" ht="13.5" x14ac:dyDescent="0.3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9"/>
      <c r="AR146" s="19"/>
      <c r="AS146" s="19"/>
    </row>
    <row r="147" spans="1:45" ht="13.5" x14ac:dyDescent="0.3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9"/>
      <c r="AR147" s="19"/>
      <c r="AS147" s="19"/>
    </row>
    <row r="148" spans="1:45" ht="13.5" x14ac:dyDescent="0.3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9"/>
      <c r="AR148" s="19"/>
      <c r="AS148" s="19"/>
    </row>
    <row r="149" spans="1:45" ht="13.5" x14ac:dyDescent="0.3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9"/>
      <c r="AR149" s="19"/>
      <c r="AS149" s="19"/>
    </row>
    <row r="150" spans="1:45" ht="13.5" x14ac:dyDescent="0.3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9"/>
      <c r="AR150" s="19"/>
      <c r="AS150" s="19"/>
    </row>
    <row r="151" spans="1:45" ht="13.5" x14ac:dyDescent="0.3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9"/>
      <c r="AR151" s="19"/>
      <c r="AS151" s="19"/>
    </row>
    <row r="152" spans="1:45" ht="13.5" x14ac:dyDescent="0.3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9"/>
      <c r="AR152" s="19"/>
      <c r="AS152" s="19"/>
    </row>
    <row r="153" spans="1:45" ht="13.5" x14ac:dyDescent="0.3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9"/>
      <c r="AR153" s="19"/>
      <c r="AS153" s="19"/>
    </row>
    <row r="154" spans="1:45" ht="13.5" x14ac:dyDescent="0.3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9"/>
      <c r="AR154" s="19"/>
      <c r="AS154" s="19"/>
    </row>
    <row r="155" spans="1:45" ht="13.5" x14ac:dyDescent="0.3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9"/>
      <c r="AR155" s="19"/>
      <c r="AS155" s="19"/>
    </row>
    <row r="156" spans="1:45" ht="13.5" x14ac:dyDescent="0.3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9"/>
      <c r="AR156" s="19"/>
      <c r="AS156" s="19"/>
    </row>
    <row r="157" spans="1:45" ht="13.5" x14ac:dyDescent="0.3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9"/>
      <c r="AR157" s="19"/>
      <c r="AS157" s="19"/>
    </row>
    <row r="158" spans="1:45" ht="13.5" x14ac:dyDescent="0.3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9"/>
      <c r="AR158" s="19"/>
      <c r="AS158" s="19"/>
    </row>
    <row r="159" spans="1:45" ht="13.5" x14ac:dyDescent="0.3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9"/>
      <c r="AR159" s="19"/>
      <c r="AS159" s="19"/>
    </row>
    <row r="160" spans="1:45" ht="13.5" x14ac:dyDescent="0.3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9"/>
      <c r="AR160" s="19"/>
      <c r="AS160" s="19"/>
    </row>
    <row r="161" spans="1:45" ht="13.5" x14ac:dyDescent="0.3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9"/>
      <c r="AR161" s="19"/>
      <c r="AS161" s="19"/>
    </row>
    <row r="162" spans="1:45" x14ac:dyDescent="0.3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row>
    <row r="163" spans="1:45" x14ac:dyDescent="0.3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row>
    <row r="164" spans="1:45" x14ac:dyDescent="0.3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row>
    <row r="165" spans="1:45" x14ac:dyDescent="0.3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row>
    <row r="166" spans="1:45" x14ac:dyDescent="0.3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row>
    <row r="167" spans="1:45" x14ac:dyDescent="0.35">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row>
    <row r="168" spans="1:45" x14ac:dyDescent="0.35">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row>
    <row r="169" spans="1:45" x14ac:dyDescent="0.35">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row>
    <row r="170" spans="1:45" x14ac:dyDescent="0.35">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row>
  </sheetData>
  <mergeCells count="11">
    <mergeCell ref="N1:O1"/>
    <mergeCell ref="N4:O4"/>
    <mergeCell ref="N2:O3"/>
    <mergeCell ref="C1:M1"/>
    <mergeCell ref="C2:M3"/>
    <mergeCell ref="C4:M4"/>
    <mergeCell ref="B6:M6"/>
    <mergeCell ref="B10:M10"/>
    <mergeCell ref="B7:M9"/>
    <mergeCell ref="A1:B4"/>
    <mergeCell ref="B11:M16"/>
  </mergeCells>
  <printOptions horizontalCentered="1"/>
  <pageMargins left="0.70866141732283472" right="0.70866141732283472" top="0.43307086614173229" bottom="0.74803149606299213" header="0.31496062992125984" footer="0.31496062992125984"/>
  <pageSetup scale="67" orientation="landscape" r:id="rId1"/>
  <headerFooter alignWithMargins="0">
    <oddFooter>&amp;R&amp;"Arial,Normal"&amp;12Página &amp;P de &amp;N</oddFooter>
  </headerFooter>
  <colBreaks count="1" manualBreakCount="1">
    <brk id="15"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73"/>
  <sheetViews>
    <sheetView showGridLines="0" showWhiteSpace="0" zoomScale="55" zoomScaleNormal="55" zoomScaleSheetLayoutView="85" zoomScalePageLayoutView="30" workbookViewId="0">
      <selection activeCell="B19" sqref="B19:E19"/>
    </sheetView>
  </sheetViews>
  <sheetFormatPr baseColWidth="10" defaultColWidth="11.3984375" defaultRowHeight="13.5" x14ac:dyDescent="0.35"/>
  <cols>
    <col min="1" max="1" width="4" style="36" customWidth="1"/>
    <col min="2" max="2" width="56.265625" style="36" customWidth="1"/>
    <col min="3" max="3" width="25" style="36" customWidth="1"/>
    <col min="4" max="4" width="4.1328125" style="36" customWidth="1"/>
    <col min="5" max="5" width="30" style="36" customWidth="1"/>
    <col min="6" max="6" width="23.265625" style="36" customWidth="1"/>
    <col min="7" max="7" width="25.86328125" style="36" customWidth="1"/>
    <col min="8" max="8" width="20.73046875" style="36" customWidth="1"/>
    <col min="9" max="9" width="11.59765625" style="36" customWidth="1"/>
    <col min="10" max="10" width="13.59765625" style="36" hidden="1" customWidth="1"/>
    <col min="11" max="11" width="30.86328125" style="46" hidden="1" customWidth="1"/>
    <col min="12" max="12" width="25.73046875" style="36" customWidth="1"/>
    <col min="13" max="13" width="30.73046875" style="36" customWidth="1"/>
    <col min="14" max="14" width="13.59765625" style="36" customWidth="1"/>
    <col min="15" max="15" width="30" style="36" customWidth="1"/>
    <col min="16" max="16" width="22.86328125" style="36" customWidth="1"/>
    <col min="17" max="17" width="25.1328125" style="36" customWidth="1"/>
    <col min="18" max="19" width="22.86328125" style="36" customWidth="1"/>
    <col min="20" max="20" width="2.73046875" style="80" hidden="1" customWidth="1"/>
    <col min="21" max="21" width="2.59765625" style="80" hidden="1" customWidth="1"/>
    <col min="22" max="22" width="3.3984375" style="80" hidden="1" customWidth="1"/>
    <col min="23" max="23" width="3.3984375" style="81" hidden="1" customWidth="1"/>
    <col min="24" max="24" width="4.265625" style="37" customWidth="1"/>
    <col min="25" max="25" width="4.265625" style="38" customWidth="1"/>
    <col min="26" max="16384" width="11.3984375" style="36"/>
  </cols>
  <sheetData>
    <row r="1" spans="1:25" s="129" customFormat="1" ht="30" customHeight="1" thickBot="1" x14ac:dyDescent="0.85">
      <c r="A1" s="471"/>
      <c r="B1" s="471"/>
      <c r="C1" s="473" t="s">
        <v>294</v>
      </c>
      <c r="D1" s="474"/>
      <c r="E1" s="474"/>
      <c r="F1" s="474"/>
      <c r="G1" s="474"/>
      <c r="H1" s="474"/>
      <c r="I1" s="474"/>
      <c r="J1" s="474"/>
      <c r="K1" s="474"/>
      <c r="L1" s="474"/>
      <c r="M1" s="474"/>
      <c r="N1" s="474"/>
      <c r="O1" s="474"/>
      <c r="P1" s="474"/>
      <c r="Q1" s="475"/>
      <c r="R1" s="491" t="s">
        <v>181</v>
      </c>
      <c r="S1" s="491"/>
      <c r="T1" s="149"/>
      <c r="U1" s="149"/>
      <c r="V1" s="149"/>
      <c r="W1" s="149"/>
    </row>
    <row r="2" spans="1:25" s="129" customFormat="1" ht="18" customHeight="1" thickBot="1" x14ac:dyDescent="0.85">
      <c r="A2" s="471"/>
      <c r="B2" s="471"/>
      <c r="C2" s="476"/>
      <c r="D2" s="477"/>
      <c r="E2" s="477"/>
      <c r="F2" s="477"/>
      <c r="G2" s="477"/>
      <c r="H2" s="477"/>
      <c r="I2" s="477"/>
      <c r="J2" s="477"/>
      <c r="K2" s="477"/>
      <c r="L2" s="477"/>
      <c r="M2" s="477"/>
      <c r="N2" s="477"/>
      <c r="O2" s="477"/>
      <c r="P2" s="477"/>
      <c r="Q2" s="478"/>
      <c r="R2" s="491"/>
      <c r="S2" s="491"/>
      <c r="T2" s="149"/>
      <c r="U2" s="149"/>
      <c r="V2" s="149"/>
      <c r="W2" s="149"/>
    </row>
    <row r="3" spans="1:25" s="129" customFormat="1" ht="30" customHeight="1" thickBot="1" x14ac:dyDescent="0.85">
      <c r="A3" s="471"/>
      <c r="B3" s="471"/>
      <c r="C3" s="479" t="s">
        <v>297</v>
      </c>
      <c r="D3" s="480"/>
      <c r="E3" s="480"/>
      <c r="F3" s="480"/>
      <c r="G3" s="480"/>
      <c r="H3" s="480"/>
      <c r="I3" s="480"/>
      <c r="J3" s="480"/>
      <c r="K3" s="480"/>
      <c r="L3" s="480"/>
      <c r="M3" s="480"/>
      <c r="N3" s="480"/>
      <c r="O3" s="480"/>
      <c r="P3" s="480"/>
      <c r="Q3" s="481"/>
      <c r="R3" s="492" t="s">
        <v>191</v>
      </c>
      <c r="S3" s="492"/>
      <c r="T3" s="149"/>
      <c r="U3" s="149"/>
      <c r="V3" s="149"/>
      <c r="W3" s="149"/>
    </row>
    <row r="4" spans="1:25" s="129" customFormat="1" ht="30" customHeight="1" thickBot="1" x14ac:dyDescent="0.85">
      <c r="A4" s="471"/>
      <c r="B4" s="471"/>
      <c r="C4" s="482"/>
      <c r="D4" s="483"/>
      <c r="E4" s="483"/>
      <c r="F4" s="483"/>
      <c r="G4" s="483"/>
      <c r="H4" s="483"/>
      <c r="I4" s="483"/>
      <c r="J4" s="483"/>
      <c r="K4" s="483"/>
      <c r="L4" s="483"/>
      <c r="M4" s="483"/>
      <c r="N4" s="483"/>
      <c r="O4" s="483"/>
      <c r="P4" s="483"/>
      <c r="Q4" s="484"/>
      <c r="R4" s="492"/>
      <c r="S4" s="492"/>
      <c r="T4" s="149"/>
      <c r="U4" s="149"/>
      <c r="V4" s="149"/>
      <c r="W4" s="149"/>
    </row>
    <row r="5" spans="1:25" ht="30" customHeight="1" thickBot="1" x14ac:dyDescent="0.85">
      <c r="A5" s="471"/>
      <c r="B5" s="471"/>
      <c r="C5" s="485" t="s">
        <v>293</v>
      </c>
      <c r="D5" s="486"/>
      <c r="E5" s="486"/>
      <c r="F5" s="486"/>
      <c r="G5" s="486"/>
      <c r="H5" s="486"/>
      <c r="I5" s="486"/>
      <c r="J5" s="486"/>
      <c r="K5" s="486"/>
      <c r="L5" s="486"/>
      <c r="M5" s="486"/>
      <c r="N5" s="486"/>
      <c r="O5" s="486"/>
      <c r="P5" s="486"/>
      <c r="Q5" s="487"/>
      <c r="R5" s="493">
        <v>43854</v>
      </c>
      <c r="S5" s="493"/>
      <c r="T5" s="150"/>
      <c r="U5" s="150"/>
      <c r="V5" s="150"/>
      <c r="W5" s="151"/>
    </row>
    <row r="6" spans="1:25" ht="10.5" customHeight="1" thickBot="1" x14ac:dyDescent="0.85">
      <c r="A6" s="471"/>
      <c r="B6" s="471"/>
      <c r="C6" s="488"/>
      <c r="D6" s="489"/>
      <c r="E6" s="489"/>
      <c r="F6" s="489"/>
      <c r="G6" s="489"/>
      <c r="H6" s="489"/>
      <c r="I6" s="489"/>
      <c r="J6" s="489"/>
      <c r="K6" s="489"/>
      <c r="L6" s="489"/>
      <c r="M6" s="489"/>
      <c r="N6" s="489"/>
      <c r="O6" s="489"/>
      <c r="P6" s="489"/>
      <c r="Q6" s="490"/>
      <c r="R6" s="493"/>
      <c r="S6" s="493"/>
      <c r="T6" s="150"/>
      <c r="U6" s="150"/>
      <c r="V6" s="150"/>
      <c r="W6" s="151"/>
    </row>
    <row r="7" spans="1:25" ht="24.95" customHeight="1" thickBot="1" x14ac:dyDescent="0.85">
      <c r="A7" s="286"/>
      <c r="B7" s="286"/>
      <c r="C7" s="287"/>
      <c r="D7" s="287"/>
      <c r="E7" s="287"/>
      <c r="F7" s="287"/>
      <c r="G7" s="287"/>
      <c r="H7" s="287"/>
      <c r="I7" s="287"/>
      <c r="J7" s="287"/>
      <c r="K7" s="287"/>
      <c r="L7" s="287"/>
      <c r="M7" s="287"/>
      <c r="N7" s="287"/>
      <c r="O7" s="287"/>
      <c r="P7" s="287"/>
      <c r="Q7" s="287"/>
      <c r="R7" s="287"/>
      <c r="S7" s="287"/>
      <c r="T7" s="288"/>
      <c r="U7" s="288"/>
      <c r="V7" s="288"/>
      <c r="W7" s="289"/>
      <c r="X7" s="290"/>
      <c r="Y7" s="290"/>
    </row>
    <row r="8" spans="1:25" ht="54.95" customHeight="1" thickTop="1" thickBot="1" x14ac:dyDescent="0.65">
      <c r="B8" s="472" t="s">
        <v>106</v>
      </c>
      <c r="C8" s="472"/>
      <c r="D8" s="472"/>
      <c r="E8" s="472"/>
      <c r="F8" s="282" t="s">
        <v>292</v>
      </c>
      <c r="G8" s="283" t="s">
        <v>146</v>
      </c>
      <c r="H8" s="284" t="s">
        <v>104</v>
      </c>
      <c r="I8" s="285" t="s">
        <v>105</v>
      </c>
      <c r="J8" s="220"/>
      <c r="K8" s="221"/>
      <c r="L8" s="472" t="s">
        <v>108</v>
      </c>
      <c r="M8" s="472"/>
      <c r="N8" s="472"/>
      <c r="O8" s="472"/>
      <c r="P8" s="216" t="s">
        <v>292</v>
      </c>
      <c r="Q8" s="217" t="s">
        <v>103</v>
      </c>
      <c r="R8" s="218" t="s">
        <v>104</v>
      </c>
      <c r="S8" s="219" t="s">
        <v>105</v>
      </c>
      <c r="T8" s="79"/>
    </row>
    <row r="9" spans="1:25" s="41" customFormat="1" ht="47.25" hidden="1" customHeight="1" x14ac:dyDescent="0.6">
      <c r="B9" s="222"/>
      <c r="C9" s="222"/>
      <c r="D9" s="222"/>
      <c r="E9" s="222"/>
      <c r="F9" s="223">
        <v>1</v>
      </c>
      <c r="G9" s="223">
        <v>2</v>
      </c>
      <c r="H9" s="222">
        <v>3</v>
      </c>
      <c r="I9" s="224"/>
      <c r="J9" s="225"/>
      <c r="K9" s="226"/>
      <c r="L9" s="222"/>
      <c r="M9" s="222"/>
      <c r="N9" s="222"/>
      <c r="O9" s="222"/>
      <c r="P9" s="222">
        <v>1</v>
      </c>
      <c r="Q9" s="222">
        <v>2</v>
      </c>
      <c r="R9" s="222">
        <v>3</v>
      </c>
      <c r="S9" s="227"/>
      <c r="T9" s="82"/>
      <c r="U9" s="83"/>
      <c r="V9" s="83"/>
      <c r="W9" s="84"/>
      <c r="X9" s="39"/>
      <c r="Y9" s="40"/>
    </row>
    <row r="10" spans="1:25" s="38" customFormat="1" ht="70.5" customHeight="1" thickTop="1" thickBot="1" x14ac:dyDescent="0.6">
      <c r="B10" s="454" t="s">
        <v>352</v>
      </c>
      <c r="C10" s="454"/>
      <c r="D10" s="454"/>
      <c r="E10" s="454"/>
      <c r="F10" s="235"/>
      <c r="G10" s="235"/>
      <c r="H10" s="239" t="s">
        <v>79</v>
      </c>
      <c r="I10" s="236">
        <f>SUMIF(F10:H10, "X",$F$9:$H$9)</f>
        <v>3</v>
      </c>
      <c r="J10" s="237"/>
      <c r="K10" s="238"/>
      <c r="L10" s="468" t="s">
        <v>364</v>
      </c>
      <c r="M10" s="469"/>
      <c r="N10" s="469"/>
      <c r="O10" s="470"/>
      <c r="P10" s="239"/>
      <c r="Q10" s="239"/>
      <c r="R10" s="239" t="s">
        <v>79</v>
      </c>
      <c r="S10" s="240">
        <f>SUMIF(P10:R10,"X",P$9:R$9)</f>
        <v>3</v>
      </c>
      <c r="T10" s="85"/>
      <c r="U10" s="86"/>
      <c r="V10" s="86"/>
      <c r="W10" s="81"/>
      <c r="X10" s="37"/>
    </row>
    <row r="11" spans="1:25" s="38" customFormat="1" ht="70.5" customHeight="1" thickTop="1" thickBot="1" x14ac:dyDescent="0.6">
      <c r="B11" s="454" t="s">
        <v>353</v>
      </c>
      <c r="C11" s="454"/>
      <c r="D11" s="454"/>
      <c r="E11" s="454"/>
      <c r="F11" s="235"/>
      <c r="G11" s="235"/>
      <c r="H11" s="239" t="s">
        <v>79</v>
      </c>
      <c r="I11" s="236">
        <f t="shared" ref="I11:I21" si="0">SUMIF(F11:H11, "X",$F$9:$H$9)</f>
        <v>3</v>
      </c>
      <c r="J11" s="237"/>
      <c r="K11" s="238"/>
      <c r="L11" s="468" t="s">
        <v>365</v>
      </c>
      <c r="M11" s="469"/>
      <c r="N11" s="469"/>
      <c r="O11" s="470"/>
      <c r="P11" s="239"/>
      <c r="Q11" s="239"/>
      <c r="R11" s="239" t="s">
        <v>79</v>
      </c>
      <c r="S11" s="240">
        <f t="shared" ref="S11:S19" si="1">SUMIF(P11:R11,"X",P$9:R$9)</f>
        <v>3</v>
      </c>
      <c r="T11" s="85"/>
      <c r="U11" s="86"/>
      <c r="V11" s="86"/>
      <c r="W11" s="81"/>
      <c r="X11" s="37"/>
    </row>
    <row r="12" spans="1:25" s="38" customFormat="1" ht="70.5" customHeight="1" thickTop="1" thickBot="1" x14ac:dyDescent="0.6">
      <c r="B12" s="454" t="s">
        <v>354</v>
      </c>
      <c r="C12" s="454"/>
      <c r="D12" s="454"/>
      <c r="E12" s="454"/>
      <c r="F12" s="235"/>
      <c r="G12" s="235"/>
      <c r="H12" s="239" t="s">
        <v>79</v>
      </c>
      <c r="I12" s="236">
        <f t="shared" si="0"/>
        <v>3</v>
      </c>
      <c r="J12" s="237"/>
      <c r="K12" s="238"/>
      <c r="L12" s="455" t="s">
        <v>366</v>
      </c>
      <c r="M12" s="456"/>
      <c r="N12" s="456"/>
      <c r="O12" s="457"/>
      <c r="P12" s="239"/>
      <c r="Q12" s="239"/>
      <c r="R12" s="239" t="s">
        <v>79</v>
      </c>
      <c r="S12" s="240">
        <f t="shared" si="1"/>
        <v>3</v>
      </c>
      <c r="T12" s="85"/>
      <c r="U12" s="86"/>
      <c r="V12" s="86"/>
      <c r="W12" s="81"/>
      <c r="X12" s="37"/>
    </row>
    <row r="13" spans="1:25" s="38" customFormat="1" ht="70.5" customHeight="1" thickTop="1" thickBot="1" x14ac:dyDescent="0.6">
      <c r="B13" s="454" t="s">
        <v>355</v>
      </c>
      <c r="C13" s="454"/>
      <c r="D13" s="454"/>
      <c r="E13" s="454"/>
      <c r="F13" s="235"/>
      <c r="G13" s="235"/>
      <c r="H13" s="239" t="s">
        <v>79</v>
      </c>
      <c r="I13" s="236">
        <f t="shared" si="0"/>
        <v>3</v>
      </c>
      <c r="J13" s="237"/>
      <c r="K13" s="238"/>
      <c r="L13" s="455" t="s">
        <v>338</v>
      </c>
      <c r="M13" s="456"/>
      <c r="N13" s="456"/>
      <c r="O13" s="457"/>
      <c r="P13" s="239"/>
      <c r="Q13" s="239"/>
      <c r="R13" s="239" t="s">
        <v>79</v>
      </c>
      <c r="S13" s="240">
        <f t="shared" si="1"/>
        <v>3</v>
      </c>
      <c r="T13" s="85"/>
      <c r="U13" s="86"/>
      <c r="V13" s="86"/>
      <c r="W13" s="81"/>
      <c r="X13" s="37"/>
    </row>
    <row r="14" spans="1:25" s="38" customFormat="1" ht="70.5" customHeight="1" thickTop="1" thickBot="1" x14ac:dyDescent="0.6">
      <c r="B14" s="454" t="s">
        <v>356</v>
      </c>
      <c r="C14" s="454"/>
      <c r="D14" s="454"/>
      <c r="E14" s="454"/>
      <c r="F14" s="235"/>
      <c r="G14" s="235"/>
      <c r="H14" s="239" t="s">
        <v>79</v>
      </c>
      <c r="I14" s="236">
        <f t="shared" si="0"/>
        <v>3</v>
      </c>
      <c r="J14" s="237"/>
      <c r="K14" s="238"/>
      <c r="L14" s="455" t="s">
        <v>316</v>
      </c>
      <c r="M14" s="456"/>
      <c r="N14" s="456"/>
      <c r="O14" s="457"/>
      <c r="P14" s="239"/>
      <c r="Q14" s="239"/>
      <c r="R14" s="239" t="s">
        <v>79</v>
      </c>
      <c r="S14" s="240">
        <f t="shared" si="1"/>
        <v>3</v>
      </c>
      <c r="T14" s="85"/>
      <c r="U14" s="86"/>
      <c r="V14" s="86"/>
      <c r="W14" s="81"/>
      <c r="X14" s="37"/>
    </row>
    <row r="15" spans="1:25" s="38" customFormat="1" ht="70.5" customHeight="1" thickTop="1" thickBot="1" x14ac:dyDescent="0.6">
      <c r="B15" s="454" t="s">
        <v>357</v>
      </c>
      <c r="C15" s="454"/>
      <c r="D15" s="454"/>
      <c r="E15" s="454"/>
      <c r="F15" s="235"/>
      <c r="G15" s="239" t="s">
        <v>79</v>
      </c>
      <c r="H15" s="235"/>
      <c r="I15" s="236">
        <f t="shared" si="0"/>
        <v>2</v>
      </c>
      <c r="J15" s="237"/>
      <c r="K15" s="238"/>
      <c r="L15" s="455" t="s">
        <v>367</v>
      </c>
      <c r="M15" s="456"/>
      <c r="N15" s="456"/>
      <c r="O15" s="457"/>
      <c r="P15" s="239"/>
      <c r="Q15" s="239"/>
      <c r="R15" s="239" t="s">
        <v>79</v>
      </c>
      <c r="S15" s="240">
        <f t="shared" si="1"/>
        <v>3</v>
      </c>
      <c r="T15" s="85"/>
      <c r="U15" s="86"/>
      <c r="V15" s="86"/>
      <c r="W15" s="81"/>
      <c r="X15" s="37"/>
    </row>
    <row r="16" spans="1:25" s="38" customFormat="1" ht="70.5" customHeight="1" thickTop="1" thickBot="1" x14ac:dyDescent="0.6">
      <c r="B16" s="454" t="s">
        <v>358</v>
      </c>
      <c r="C16" s="454"/>
      <c r="D16" s="454"/>
      <c r="E16" s="454"/>
      <c r="F16" s="235"/>
      <c r="G16" s="235"/>
      <c r="H16" s="239" t="s">
        <v>79</v>
      </c>
      <c r="I16" s="236">
        <f t="shared" si="0"/>
        <v>3</v>
      </c>
      <c r="J16" s="237"/>
      <c r="K16" s="238"/>
      <c r="L16" s="468" t="s">
        <v>371</v>
      </c>
      <c r="M16" s="469"/>
      <c r="N16" s="469"/>
      <c r="O16" s="470"/>
      <c r="P16" s="239" t="s">
        <v>79</v>
      </c>
      <c r="Q16" s="239"/>
      <c r="R16" s="239"/>
      <c r="S16" s="240">
        <f t="shared" si="1"/>
        <v>1</v>
      </c>
      <c r="T16" s="85"/>
      <c r="U16" s="86"/>
      <c r="V16" s="86"/>
      <c r="W16" s="81"/>
      <c r="X16" s="37"/>
    </row>
    <row r="17" spans="2:24" s="38" customFormat="1" ht="70.5" customHeight="1" thickTop="1" thickBot="1" x14ac:dyDescent="0.6">
      <c r="B17" s="494" t="s">
        <v>359</v>
      </c>
      <c r="C17" s="494"/>
      <c r="D17" s="494"/>
      <c r="E17" s="494"/>
      <c r="F17" s="235"/>
      <c r="G17" s="235"/>
      <c r="H17" s="239" t="s">
        <v>79</v>
      </c>
      <c r="I17" s="236">
        <f t="shared" si="0"/>
        <v>3</v>
      </c>
      <c r="J17" s="237"/>
      <c r="K17" s="238"/>
      <c r="L17" s="455" t="s">
        <v>368</v>
      </c>
      <c r="M17" s="456"/>
      <c r="N17" s="456"/>
      <c r="O17" s="457"/>
      <c r="P17" s="239"/>
      <c r="Q17" s="239"/>
      <c r="R17" s="239" t="s">
        <v>79</v>
      </c>
      <c r="S17" s="240">
        <f t="shared" si="1"/>
        <v>3</v>
      </c>
      <c r="T17" s="85"/>
      <c r="U17" s="86"/>
      <c r="V17" s="86"/>
      <c r="W17" s="81"/>
      <c r="X17" s="37"/>
    </row>
    <row r="18" spans="2:24" s="38" customFormat="1" ht="70.5" customHeight="1" thickTop="1" thickBot="1" x14ac:dyDescent="0.6">
      <c r="B18" s="454" t="s">
        <v>360</v>
      </c>
      <c r="C18" s="454"/>
      <c r="D18" s="454"/>
      <c r="E18" s="454"/>
      <c r="F18" s="235"/>
      <c r="G18" s="235"/>
      <c r="H18" s="239" t="s">
        <v>79</v>
      </c>
      <c r="I18" s="236">
        <f t="shared" si="0"/>
        <v>3</v>
      </c>
      <c r="J18" s="237"/>
      <c r="K18" s="238"/>
      <c r="L18" s="468" t="s">
        <v>369</v>
      </c>
      <c r="M18" s="469"/>
      <c r="N18" s="469"/>
      <c r="O18" s="470"/>
      <c r="P18" s="239"/>
      <c r="Q18" s="239"/>
      <c r="R18" s="239" t="s">
        <v>79</v>
      </c>
      <c r="S18" s="240">
        <f t="shared" si="1"/>
        <v>3</v>
      </c>
      <c r="T18" s="85"/>
      <c r="U18" s="86"/>
      <c r="V18" s="86"/>
      <c r="W18" s="81"/>
      <c r="X18" s="37"/>
    </row>
    <row r="19" spans="2:24" s="38" customFormat="1" ht="70.5" customHeight="1" thickTop="1" thickBot="1" x14ac:dyDescent="0.6">
      <c r="B19" s="454" t="s">
        <v>361</v>
      </c>
      <c r="C19" s="454"/>
      <c r="D19" s="454"/>
      <c r="E19" s="454"/>
      <c r="F19" s="235"/>
      <c r="G19" s="235"/>
      <c r="H19" s="239" t="s">
        <v>79</v>
      </c>
      <c r="I19" s="236">
        <f t="shared" si="0"/>
        <v>3</v>
      </c>
      <c r="J19" s="237"/>
      <c r="K19" s="238"/>
      <c r="L19" s="455" t="s">
        <v>370</v>
      </c>
      <c r="M19" s="456"/>
      <c r="N19" s="456"/>
      <c r="O19" s="457"/>
      <c r="P19" s="239"/>
      <c r="Q19" s="239"/>
      <c r="R19" s="239" t="s">
        <v>79</v>
      </c>
      <c r="S19" s="240">
        <f t="shared" si="1"/>
        <v>3</v>
      </c>
      <c r="T19" s="85"/>
      <c r="U19" s="86"/>
      <c r="V19" s="86"/>
      <c r="W19" s="87"/>
      <c r="X19" s="37"/>
    </row>
    <row r="20" spans="2:24" s="38" customFormat="1" ht="70.5" customHeight="1" thickTop="1" thickBot="1" x14ac:dyDescent="0.6">
      <c r="B20" s="454" t="s">
        <v>362</v>
      </c>
      <c r="C20" s="454"/>
      <c r="D20" s="454"/>
      <c r="E20" s="454"/>
      <c r="F20" s="235"/>
      <c r="G20" s="235"/>
      <c r="H20" s="239" t="s">
        <v>79</v>
      </c>
      <c r="I20" s="236">
        <f t="shared" si="0"/>
        <v>3</v>
      </c>
      <c r="J20" s="237"/>
      <c r="K20" s="238"/>
      <c r="L20" s="455"/>
      <c r="M20" s="456"/>
      <c r="N20" s="456"/>
      <c r="O20" s="457"/>
      <c r="P20" s="239"/>
      <c r="Q20" s="239"/>
      <c r="R20" s="239"/>
      <c r="S20" s="240"/>
      <c r="T20" s="85"/>
      <c r="U20" s="86"/>
      <c r="V20" s="86"/>
      <c r="W20" s="87"/>
      <c r="X20" s="37"/>
    </row>
    <row r="21" spans="2:24" s="38" customFormat="1" ht="70.5" customHeight="1" thickTop="1" thickBot="1" x14ac:dyDescent="0.6">
      <c r="B21" s="454" t="s">
        <v>363</v>
      </c>
      <c r="C21" s="454"/>
      <c r="D21" s="454"/>
      <c r="E21" s="454"/>
      <c r="F21" s="235"/>
      <c r="G21" s="235"/>
      <c r="H21" s="239" t="s">
        <v>79</v>
      </c>
      <c r="I21" s="236">
        <f t="shared" si="0"/>
        <v>3</v>
      </c>
      <c r="J21" s="237"/>
      <c r="K21" s="238"/>
      <c r="L21" s="455"/>
      <c r="M21" s="456"/>
      <c r="N21" s="456"/>
      <c r="O21" s="457"/>
      <c r="P21" s="239"/>
      <c r="Q21" s="239"/>
      <c r="R21" s="239"/>
      <c r="S21" s="240"/>
      <c r="T21" s="85"/>
      <c r="U21" s="86"/>
      <c r="V21" s="86"/>
      <c r="W21" s="87"/>
      <c r="X21" s="37"/>
    </row>
    <row r="22" spans="2:24" s="38" customFormat="1" ht="60.4" customHeight="1" thickTop="1" thickBot="1" x14ac:dyDescent="0.6">
      <c r="B22" s="495"/>
      <c r="C22" s="496"/>
      <c r="D22" s="496"/>
      <c r="E22" s="497"/>
      <c r="F22" s="235"/>
      <c r="G22" s="235"/>
      <c r="H22" s="235"/>
      <c r="I22" s="236"/>
      <c r="J22" s="237"/>
      <c r="K22" s="238"/>
      <c r="L22" s="468"/>
      <c r="M22" s="469"/>
      <c r="N22" s="469"/>
      <c r="O22" s="470"/>
      <c r="P22" s="239"/>
      <c r="Q22" s="239"/>
      <c r="R22" s="239"/>
      <c r="S22" s="240"/>
      <c r="T22" s="85"/>
      <c r="U22" s="86"/>
      <c r="V22" s="86"/>
      <c r="W22" s="87"/>
      <c r="X22" s="37"/>
    </row>
    <row r="23" spans="2:24" s="38" customFormat="1" ht="60.4" customHeight="1" thickTop="1" thickBot="1" x14ac:dyDescent="0.6">
      <c r="B23" s="495"/>
      <c r="C23" s="496"/>
      <c r="D23" s="496"/>
      <c r="E23" s="497"/>
      <c r="F23" s="235"/>
      <c r="G23" s="235"/>
      <c r="H23" s="235"/>
      <c r="I23" s="236"/>
      <c r="J23" s="237"/>
      <c r="K23" s="238"/>
      <c r="L23" s="455"/>
      <c r="M23" s="456"/>
      <c r="N23" s="456"/>
      <c r="O23" s="457"/>
      <c r="P23" s="239"/>
      <c r="Q23" s="239"/>
      <c r="R23" s="239"/>
      <c r="S23" s="240"/>
      <c r="T23" s="85"/>
      <c r="U23" s="86"/>
      <c r="V23" s="86"/>
      <c r="W23" s="87"/>
      <c r="X23" s="37"/>
    </row>
    <row r="24" spans="2:24" ht="19.5" customHeight="1" thickTop="1" thickBot="1" x14ac:dyDescent="0.65">
      <c r="B24" s="498" t="s">
        <v>107</v>
      </c>
      <c r="C24" s="498"/>
      <c r="D24" s="498"/>
      <c r="E24" s="498"/>
      <c r="F24" s="498"/>
      <c r="G24" s="498"/>
      <c r="H24" s="498"/>
      <c r="I24" s="228">
        <f>SUM(I10:I23)</f>
        <v>35</v>
      </c>
      <c r="J24" s="229">
        <f>I24</f>
        <v>35</v>
      </c>
      <c r="K24" s="230"/>
      <c r="L24" s="499" t="s">
        <v>107</v>
      </c>
      <c r="M24" s="499"/>
      <c r="N24" s="499"/>
      <c r="O24" s="499"/>
      <c r="P24" s="500"/>
      <c r="Q24" s="500"/>
      <c r="R24" s="500"/>
      <c r="S24" s="231">
        <f>SUM(S10:S23)*-1</f>
        <v>-28</v>
      </c>
      <c r="T24" s="88">
        <f>S24*-1</f>
        <v>28</v>
      </c>
      <c r="U24" s="89">
        <f>(S24*$K$53)/$M$53</f>
        <v>-5.0909090909090908</v>
      </c>
      <c r="W24" s="81">
        <f>(I24*$K$54)/$M$54</f>
        <v>12</v>
      </c>
    </row>
    <row r="25" spans="2:24" ht="9" customHeight="1" thickTop="1" x14ac:dyDescent="0.55000000000000004">
      <c r="B25" s="269"/>
      <c r="C25" s="269"/>
      <c r="D25" s="269"/>
      <c r="E25" s="269"/>
      <c r="F25" s="269"/>
      <c r="G25" s="269"/>
      <c r="H25" s="269"/>
      <c r="I25" s="270"/>
      <c r="J25" s="269"/>
      <c r="K25" s="271"/>
      <c r="L25" s="269"/>
      <c r="M25" s="269"/>
      <c r="N25" s="269"/>
      <c r="O25" s="269"/>
      <c r="P25" s="269"/>
      <c r="Q25" s="269"/>
      <c r="R25" s="269"/>
      <c r="S25" s="270"/>
      <c r="T25" s="90"/>
    </row>
    <row r="26" spans="2:24" ht="24" customHeight="1" thickBot="1" x14ac:dyDescent="0.6">
      <c r="B26" s="269"/>
      <c r="C26" s="269"/>
      <c r="D26" s="269"/>
      <c r="E26" s="269"/>
      <c r="F26" s="269"/>
      <c r="G26" s="269"/>
      <c r="H26" s="269"/>
      <c r="I26" s="270"/>
      <c r="J26" s="269"/>
      <c r="K26" s="271"/>
      <c r="L26" s="269"/>
      <c r="M26" s="269"/>
      <c r="N26" s="269"/>
      <c r="O26" s="269"/>
      <c r="P26" s="269"/>
      <c r="Q26" s="269"/>
      <c r="R26" s="269"/>
      <c r="S26" s="270"/>
      <c r="T26" s="90"/>
    </row>
    <row r="27" spans="2:24" ht="41.85" customHeight="1" thickTop="1" x14ac:dyDescent="0.55000000000000004">
      <c r="B27" s="505" t="s">
        <v>180</v>
      </c>
      <c r="C27" s="506"/>
      <c r="D27" s="506"/>
      <c r="E27" s="506"/>
      <c r="F27" s="507"/>
      <c r="G27" s="247"/>
      <c r="H27" s="247"/>
      <c r="I27" s="247"/>
      <c r="J27" s="247"/>
      <c r="K27" s="248"/>
      <c r="L27" s="461" t="s">
        <v>110</v>
      </c>
      <c r="M27" s="461"/>
      <c r="N27" s="461"/>
      <c r="O27" s="269"/>
      <c r="P27" s="269"/>
      <c r="Q27" s="269"/>
      <c r="R27" s="269"/>
      <c r="S27" s="270"/>
      <c r="T27" s="90"/>
    </row>
    <row r="28" spans="2:24" ht="41.85" customHeight="1" x14ac:dyDescent="0.55000000000000004">
      <c r="B28" s="508" t="s">
        <v>35</v>
      </c>
      <c r="C28" s="461"/>
      <c r="D28" s="461" t="s">
        <v>40</v>
      </c>
      <c r="E28" s="461"/>
      <c r="F28" s="462"/>
      <c r="G28" s="247"/>
      <c r="H28" s="247"/>
      <c r="I28" s="247"/>
      <c r="J28" s="247"/>
      <c r="K28" s="248"/>
      <c r="L28" s="249" t="s">
        <v>79</v>
      </c>
      <c r="M28" s="250" t="s">
        <v>333</v>
      </c>
      <c r="N28" s="251">
        <f>O28</f>
        <v>0</v>
      </c>
      <c r="O28" s="269"/>
      <c r="P28" s="269"/>
      <c r="Q28" s="269"/>
      <c r="R28" s="269"/>
      <c r="S28" s="270"/>
      <c r="T28" s="90"/>
    </row>
    <row r="29" spans="2:24" ht="51" customHeight="1" x14ac:dyDescent="0.55000000000000004">
      <c r="B29" s="463" t="s">
        <v>37</v>
      </c>
      <c r="C29" s="464"/>
      <c r="D29" s="464" t="s">
        <v>42</v>
      </c>
      <c r="E29" s="464"/>
      <c r="F29" s="465"/>
      <c r="G29" s="247"/>
      <c r="H29" s="247"/>
      <c r="I29" s="253"/>
      <c r="J29" s="253"/>
      <c r="K29" s="254"/>
      <c r="L29" s="255" t="s">
        <v>75</v>
      </c>
      <c r="M29" s="256" t="s">
        <v>334</v>
      </c>
      <c r="N29" s="257">
        <f>O29</f>
        <v>0</v>
      </c>
      <c r="O29" s="269"/>
      <c r="P29" s="269"/>
      <c r="Q29" s="269"/>
      <c r="R29" s="269"/>
      <c r="S29" s="270"/>
      <c r="T29" s="90"/>
    </row>
    <row r="30" spans="2:24" ht="51" customHeight="1" x14ac:dyDescent="0.55000000000000004">
      <c r="B30" s="463" t="s">
        <v>38</v>
      </c>
      <c r="C30" s="464"/>
      <c r="D30" s="466" t="s">
        <v>43</v>
      </c>
      <c r="E30" s="466"/>
      <c r="F30" s="467"/>
      <c r="G30" s="247"/>
      <c r="H30" s="247"/>
      <c r="I30" s="259"/>
      <c r="J30" s="259"/>
      <c r="K30" s="260">
        <v>6</v>
      </c>
      <c r="L30" s="258" t="s">
        <v>79</v>
      </c>
      <c r="M30" s="261" t="e">
        <f>MAX(#REF!)</f>
        <v>#REF!</v>
      </c>
      <c r="N30" s="262"/>
      <c r="O30" s="269"/>
      <c r="P30" s="269"/>
      <c r="Q30" s="269"/>
      <c r="R30" s="269"/>
      <c r="S30" s="270"/>
      <c r="T30" s="90"/>
    </row>
    <row r="31" spans="2:24" ht="51" customHeight="1" thickBot="1" x14ac:dyDescent="0.6">
      <c r="B31" s="458" t="s">
        <v>39</v>
      </c>
      <c r="C31" s="459"/>
      <c r="D31" s="459" t="s">
        <v>44</v>
      </c>
      <c r="E31" s="459"/>
      <c r="F31" s="460"/>
      <c r="G31" s="247"/>
      <c r="H31" s="247"/>
      <c r="I31" s="259"/>
      <c r="J31" s="259"/>
      <c r="K31" s="248">
        <v>12</v>
      </c>
      <c r="L31" s="258" t="s">
        <v>75</v>
      </c>
      <c r="M31" s="261" t="e">
        <f>MAX(#REF!)</f>
        <v>#REF!</v>
      </c>
      <c r="N31" s="262"/>
      <c r="O31" s="269"/>
      <c r="P31" s="269"/>
      <c r="Q31" s="269"/>
      <c r="R31" s="269"/>
      <c r="S31" s="270"/>
      <c r="T31" s="90"/>
    </row>
    <row r="32" spans="2:24" ht="52.5" customHeight="1" thickTop="1" x14ac:dyDescent="0.55000000000000004">
      <c r="B32" s="269"/>
      <c r="C32" s="269"/>
      <c r="D32" s="269"/>
      <c r="E32" s="269"/>
      <c r="F32" s="269"/>
      <c r="G32" s="269"/>
      <c r="H32" s="269"/>
      <c r="I32" s="270"/>
      <c r="J32" s="269"/>
      <c r="K32" s="271"/>
      <c r="L32" s="269"/>
      <c r="M32" s="269"/>
      <c r="N32" s="269"/>
      <c r="O32" s="269"/>
      <c r="P32" s="269"/>
      <c r="Q32" s="269"/>
      <c r="R32" s="269"/>
      <c r="S32" s="270"/>
      <c r="T32" s="90"/>
    </row>
    <row r="33" spans="2:24" ht="24.95" customHeight="1" x14ac:dyDescent="0.55000000000000004">
      <c r="B33" s="269"/>
      <c r="C33" s="269"/>
      <c r="D33" s="269"/>
      <c r="E33" s="269"/>
      <c r="F33" s="269"/>
      <c r="G33" s="269"/>
      <c r="H33" s="269"/>
      <c r="I33" s="270"/>
      <c r="J33" s="269"/>
      <c r="K33" s="271"/>
      <c r="L33" s="269"/>
      <c r="M33" s="269"/>
      <c r="N33" s="269"/>
      <c r="O33" s="269"/>
      <c r="P33" s="269"/>
      <c r="Q33" s="269"/>
      <c r="R33" s="269"/>
      <c r="S33" s="270"/>
      <c r="T33" s="90"/>
    </row>
    <row r="34" spans="2:24" ht="50.1" customHeight="1" thickBot="1" x14ac:dyDescent="0.65">
      <c r="B34" s="501" t="s">
        <v>109</v>
      </c>
      <c r="C34" s="501"/>
      <c r="D34" s="501"/>
      <c r="E34" s="501"/>
      <c r="F34" s="263" t="s">
        <v>118</v>
      </c>
      <c r="G34" s="264" t="s">
        <v>147</v>
      </c>
      <c r="H34" s="265" t="s">
        <v>139</v>
      </c>
      <c r="I34" s="266" t="s">
        <v>105</v>
      </c>
      <c r="J34" s="267"/>
      <c r="K34" s="268"/>
      <c r="L34" s="502" t="s">
        <v>111</v>
      </c>
      <c r="M34" s="503"/>
      <c r="N34" s="503"/>
      <c r="O34" s="504"/>
      <c r="P34" s="263" t="s">
        <v>118</v>
      </c>
      <c r="Q34" s="264" t="s">
        <v>147</v>
      </c>
      <c r="R34" s="265" t="s">
        <v>139</v>
      </c>
      <c r="S34" s="266" t="s">
        <v>105</v>
      </c>
      <c r="T34" s="82"/>
    </row>
    <row r="35" spans="2:24" s="38" customFormat="1" ht="98.25" customHeight="1" thickTop="1" thickBot="1" x14ac:dyDescent="0.6">
      <c r="B35" s="454" t="s">
        <v>310</v>
      </c>
      <c r="C35" s="454"/>
      <c r="D35" s="454"/>
      <c r="E35" s="454"/>
      <c r="F35" s="241"/>
      <c r="G35" s="241"/>
      <c r="H35" s="241" t="s">
        <v>79</v>
      </c>
      <c r="I35" s="240">
        <f t="shared" ref="I35:I46" si="2">SUMIF(F35:H35, "X",$F$9:$H$9)</f>
        <v>3</v>
      </c>
      <c r="J35" s="242"/>
      <c r="K35" s="238"/>
      <c r="L35" s="495" t="s">
        <v>321</v>
      </c>
      <c r="M35" s="496"/>
      <c r="N35" s="496"/>
      <c r="O35" s="497"/>
      <c r="P35" s="239"/>
      <c r="Q35" s="239"/>
      <c r="R35" s="239" t="s">
        <v>79</v>
      </c>
      <c r="S35" s="236">
        <f t="shared" ref="S35:S46" si="3">SUMIF(P35:R35,"X",$P$9:$R$9)</f>
        <v>3</v>
      </c>
      <c r="T35" s="85"/>
      <c r="U35" s="86"/>
      <c r="V35" s="86"/>
      <c r="W35" s="81"/>
      <c r="X35" s="37"/>
    </row>
    <row r="36" spans="2:24" s="38" customFormat="1" ht="98.25" customHeight="1" thickTop="1" thickBot="1" x14ac:dyDescent="0.6">
      <c r="B36" s="495" t="s">
        <v>317</v>
      </c>
      <c r="C36" s="496"/>
      <c r="D36" s="496"/>
      <c r="E36" s="497"/>
      <c r="F36" s="241"/>
      <c r="G36" s="241"/>
      <c r="H36" s="241" t="s">
        <v>79</v>
      </c>
      <c r="I36" s="240">
        <f t="shared" si="2"/>
        <v>3</v>
      </c>
      <c r="J36" s="242"/>
      <c r="K36" s="238"/>
      <c r="L36" s="495" t="s">
        <v>344</v>
      </c>
      <c r="M36" s="496"/>
      <c r="N36" s="496"/>
      <c r="O36" s="497"/>
      <c r="P36" s="239" t="s">
        <v>79</v>
      </c>
      <c r="Q36" s="239"/>
      <c r="R36" s="239"/>
      <c r="S36" s="236">
        <f t="shared" si="3"/>
        <v>1</v>
      </c>
      <c r="T36" s="85"/>
      <c r="U36" s="86"/>
      <c r="V36" s="86"/>
      <c r="W36" s="81"/>
      <c r="X36" s="37"/>
    </row>
    <row r="37" spans="2:24" s="38" customFormat="1" ht="98.25" customHeight="1" thickTop="1" thickBot="1" x14ac:dyDescent="0.6">
      <c r="B37" s="495" t="s">
        <v>318</v>
      </c>
      <c r="C37" s="496"/>
      <c r="D37" s="496"/>
      <c r="E37" s="497"/>
      <c r="F37" s="241"/>
      <c r="G37" s="241"/>
      <c r="H37" s="239" t="s">
        <v>79</v>
      </c>
      <c r="I37" s="240">
        <f t="shared" si="2"/>
        <v>3</v>
      </c>
      <c r="J37" s="242"/>
      <c r="K37" s="238"/>
      <c r="L37" s="495" t="s">
        <v>345</v>
      </c>
      <c r="M37" s="496"/>
      <c r="N37" s="496"/>
      <c r="O37" s="497"/>
      <c r="P37" s="239"/>
      <c r="Q37" s="239"/>
      <c r="R37" s="239" t="s">
        <v>79</v>
      </c>
      <c r="S37" s="236">
        <f t="shared" si="3"/>
        <v>3</v>
      </c>
      <c r="T37" s="85"/>
      <c r="U37" s="86"/>
      <c r="V37" s="86"/>
      <c r="W37" s="81"/>
      <c r="X37" s="37"/>
    </row>
    <row r="38" spans="2:24" s="38" customFormat="1" ht="98.25" customHeight="1" thickTop="1" thickBot="1" x14ac:dyDescent="0.6">
      <c r="B38" s="495" t="s">
        <v>314</v>
      </c>
      <c r="C38" s="496"/>
      <c r="D38" s="496"/>
      <c r="E38" s="497"/>
      <c r="F38" s="241"/>
      <c r="G38" s="241"/>
      <c r="H38" s="239" t="s">
        <v>79</v>
      </c>
      <c r="I38" s="240">
        <f t="shared" si="2"/>
        <v>3</v>
      </c>
      <c r="J38" s="242"/>
      <c r="K38" s="238"/>
      <c r="L38" s="495" t="s">
        <v>322</v>
      </c>
      <c r="M38" s="496"/>
      <c r="N38" s="496"/>
      <c r="O38" s="497"/>
      <c r="P38" s="239"/>
      <c r="Q38" s="239"/>
      <c r="R38" s="239" t="s">
        <v>79</v>
      </c>
      <c r="S38" s="236">
        <f t="shared" si="3"/>
        <v>3</v>
      </c>
      <c r="T38" s="85"/>
      <c r="U38" s="86"/>
      <c r="V38" s="86"/>
      <c r="W38" s="81"/>
      <c r="X38" s="37"/>
    </row>
    <row r="39" spans="2:24" s="38" customFormat="1" ht="98.25" customHeight="1" thickTop="1" thickBot="1" x14ac:dyDescent="0.6">
      <c r="B39" s="495" t="s">
        <v>312</v>
      </c>
      <c r="C39" s="509"/>
      <c r="D39" s="509"/>
      <c r="E39" s="510"/>
      <c r="F39" s="241"/>
      <c r="G39" s="241"/>
      <c r="H39" s="239" t="s">
        <v>79</v>
      </c>
      <c r="I39" s="240">
        <f t="shared" si="2"/>
        <v>3</v>
      </c>
      <c r="J39" s="242"/>
      <c r="K39" s="238"/>
      <c r="L39" s="495" t="s">
        <v>346</v>
      </c>
      <c r="M39" s="496"/>
      <c r="N39" s="496"/>
      <c r="O39" s="497"/>
      <c r="P39" s="239"/>
      <c r="Q39" s="239" t="s">
        <v>79</v>
      </c>
      <c r="R39" s="239"/>
      <c r="S39" s="236">
        <f t="shared" si="3"/>
        <v>2</v>
      </c>
      <c r="T39" s="85"/>
      <c r="U39" s="86"/>
      <c r="V39" s="86"/>
      <c r="W39" s="81"/>
      <c r="X39" s="37"/>
    </row>
    <row r="40" spans="2:24" s="38" customFormat="1" ht="98.25" customHeight="1" thickTop="1" thickBot="1" x14ac:dyDescent="0.6">
      <c r="B40" s="495" t="s">
        <v>319</v>
      </c>
      <c r="C40" s="509"/>
      <c r="D40" s="509"/>
      <c r="E40" s="510"/>
      <c r="F40" s="241"/>
      <c r="G40" s="241"/>
      <c r="H40" s="239" t="s">
        <v>79</v>
      </c>
      <c r="I40" s="240">
        <f t="shared" si="2"/>
        <v>3</v>
      </c>
      <c r="J40" s="242"/>
      <c r="K40" s="238"/>
      <c r="L40" s="495" t="s">
        <v>347</v>
      </c>
      <c r="M40" s="496"/>
      <c r="N40" s="496"/>
      <c r="O40" s="497"/>
      <c r="P40" s="239"/>
      <c r="Q40" s="239"/>
      <c r="R40" s="239" t="s">
        <v>79</v>
      </c>
      <c r="S40" s="236">
        <f t="shared" si="3"/>
        <v>3</v>
      </c>
      <c r="T40" s="85"/>
      <c r="U40" s="86"/>
      <c r="V40" s="86"/>
      <c r="W40" s="81"/>
      <c r="X40" s="37"/>
    </row>
    <row r="41" spans="2:24" s="38" customFormat="1" ht="98.25" customHeight="1" thickTop="1" thickBot="1" x14ac:dyDescent="0.6">
      <c r="B41" s="495" t="s">
        <v>315</v>
      </c>
      <c r="C41" s="509"/>
      <c r="D41" s="509"/>
      <c r="E41" s="510"/>
      <c r="F41" s="241"/>
      <c r="G41" s="241"/>
      <c r="H41" s="239" t="s">
        <v>79</v>
      </c>
      <c r="I41" s="240">
        <f t="shared" si="2"/>
        <v>3</v>
      </c>
      <c r="J41" s="242"/>
      <c r="K41" s="238"/>
      <c r="L41" s="495" t="s">
        <v>348</v>
      </c>
      <c r="M41" s="496"/>
      <c r="N41" s="496"/>
      <c r="O41" s="497"/>
      <c r="P41" s="239"/>
      <c r="Q41" s="239"/>
      <c r="R41" s="239" t="s">
        <v>79</v>
      </c>
      <c r="S41" s="236">
        <f t="shared" si="3"/>
        <v>3</v>
      </c>
      <c r="T41" s="85"/>
      <c r="U41" s="86"/>
      <c r="V41" s="86"/>
      <c r="W41" s="81"/>
      <c r="X41" s="37"/>
    </row>
    <row r="42" spans="2:24" s="38" customFormat="1" ht="98.25" customHeight="1" thickTop="1" thickBot="1" x14ac:dyDescent="0.6">
      <c r="B42" s="495" t="s">
        <v>339</v>
      </c>
      <c r="C42" s="496"/>
      <c r="D42" s="496"/>
      <c r="E42" s="497"/>
      <c r="F42" s="241"/>
      <c r="G42" s="241"/>
      <c r="H42" s="239" t="s">
        <v>79</v>
      </c>
      <c r="I42" s="240">
        <f t="shared" si="2"/>
        <v>3</v>
      </c>
      <c r="J42" s="242"/>
      <c r="K42" s="238"/>
      <c r="L42" s="511" t="s">
        <v>323</v>
      </c>
      <c r="M42" s="509"/>
      <c r="N42" s="509"/>
      <c r="O42" s="510"/>
      <c r="P42" s="239"/>
      <c r="Q42" s="239"/>
      <c r="R42" s="239" t="s">
        <v>79</v>
      </c>
      <c r="S42" s="236">
        <f t="shared" si="3"/>
        <v>3</v>
      </c>
      <c r="T42" s="85"/>
      <c r="U42" s="86"/>
      <c r="V42" s="86"/>
      <c r="W42" s="81"/>
      <c r="X42" s="37"/>
    </row>
    <row r="43" spans="2:24" s="38" customFormat="1" ht="98.25" customHeight="1" thickTop="1" thickBot="1" x14ac:dyDescent="0.6">
      <c r="B43" s="495" t="s">
        <v>320</v>
      </c>
      <c r="C43" s="509"/>
      <c r="D43" s="509"/>
      <c r="E43" s="510"/>
      <c r="F43" s="241"/>
      <c r="G43" s="241"/>
      <c r="H43" s="241" t="s">
        <v>79</v>
      </c>
      <c r="I43" s="240">
        <f t="shared" si="2"/>
        <v>3</v>
      </c>
      <c r="J43" s="242"/>
      <c r="K43" s="238"/>
      <c r="L43" s="495" t="s">
        <v>349</v>
      </c>
      <c r="M43" s="496"/>
      <c r="N43" s="496"/>
      <c r="O43" s="497"/>
      <c r="P43" s="239"/>
      <c r="Q43" s="239"/>
      <c r="R43" s="239" t="s">
        <v>79</v>
      </c>
      <c r="S43" s="236">
        <f t="shared" si="3"/>
        <v>3</v>
      </c>
      <c r="T43" s="85"/>
      <c r="U43" s="86"/>
      <c r="V43" s="86"/>
      <c r="W43" s="81"/>
      <c r="X43" s="37"/>
    </row>
    <row r="44" spans="2:24" s="38" customFormat="1" ht="98.25" customHeight="1" thickTop="1" thickBot="1" x14ac:dyDescent="0.6">
      <c r="B44" s="495" t="s">
        <v>340</v>
      </c>
      <c r="C44" s="509"/>
      <c r="D44" s="509"/>
      <c r="E44" s="510"/>
      <c r="F44" s="241"/>
      <c r="G44" s="241"/>
      <c r="H44" s="241" t="s">
        <v>79</v>
      </c>
      <c r="I44" s="240">
        <f t="shared" si="2"/>
        <v>3</v>
      </c>
      <c r="J44" s="242"/>
      <c r="K44" s="238"/>
      <c r="L44" s="495" t="s">
        <v>350</v>
      </c>
      <c r="M44" s="496"/>
      <c r="N44" s="496"/>
      <c r="O44" s="497"/>
      <c r="P44" s="239"/>
      <c r="Q44" s="239"/>
      <c r="R44" s="239" t="s">
        <v>79</v>
      </c>
      <c r="S44" s="236">
        <f t="shared" si="3"/>
        <v>3</v>
      </c>
      <c r="T44" s="85"/>
      <c r="U44" s="86"/>
      <c r="V44" s="86"/>
      <c r="W44" s="81"/>
      <c r="X44" s="37"/>
    </row>
    <row r="45" spans="2:24" s="38" customFormat="1" ht="86.45" customHeight="1" thickTop="1" thickBot="1" x14ac:dyDescent="0.6">
      <c r="B45" s="511"/>
      <c r="C45" s="509"/>
      <c r="D45" s="509"/>
      <c r="E45" s="510"/>
      <c r="F45" s="241"/>
      <c r="G45" s="241"/>
      <c r="H45" s="241"/>
      <c r="I45" s="240">
        <f t="shared" si="2"/>
        <v>0</v>
      </c>
      <c r="J45" s="242"/>
      <c r="K45" s="238"/>
      <c r="L45" s="495" t="s">
        <v>351</v>
      </c>
      <c r="M45" s="496"/>
      <c r="N45" s="496"/>
      <c r="O45" s="497"/>
      <c r="P45" s="239"/>
      <c r="Q45" s="239"/>
      <c r="R45" s="239" t="s">
        <v>311</v>
      </c>
      <c r="S45" s="236">
        <f t="shared" si="3"/>
        <v>3</v>
      </c>
      <c r="T45" s="85"/>
      <c r="U45" s="86"/>
      <c r="V45" s="86"/>
      <c r="W45" s="81"/>
      <c r="X45" s="37"/>
    </row>
    <row r="46" spans="2:24" s="38" customFormat="1" ht="90" customHeight="1" thickTop="1" thickBot="1" x14ac:dyDescent="0.6">
      <c r="B46" s="495"/>
      <c r="C46" s="496"/>
      <c r="D46" s="496"/>
      <c r="E46" s="497"/>
      <c r="F46" s="241"/>
      <c r="G46" s="241"/>
      <c r="H46" s="241"/>
      <c r="I46" s="240">
        <f t="shared" si="2"/>
        <v>0</v>
      </c>
      <c r="J46" s="242"/>
      <c r="K46" s="238"/>
      <c r="L46" s="495" t="s">
        <v>324</v>
      </c>
      <c r="M46" s="496"/>
      <c r="N46" s="496"/>
      <c r="O46" s="497"/>
      <c r="P46" s="239"/>
      <c r="Q46" s="239"/>
      <c r="R46" s="239" t="s">
        <v>79</v>
      </c>
      <c r="S46" s="236">
        <f t="shared" si="3"/>
        <v>3</v>
      </c>
      <c r="T46" s="85"/>
      <c r="U46" s="86"/>
      <c r="V46" s="86"/>
      <c r="W46" s="81"/>
      <c r="X46" s="37"/>
    </row>
    <row r="47" spans="2:24" ht="23.25" thickTop="1" thickBot="1" x14ac:dyDescent="0.65">
      <c r="B47" s="512" t="s">
        <v>107</v>
      </c>
      <c r="C47" s="512"/>
      <c r="D47" s="512"/>
      <c r="E47" s="512"/>
      <c r="F47" s="512"/>
      <c r="G47" s="512"/>
      <c r="H47" s="512"/>
      <c r="I47" s="243">
        <f>SUM(I35:I46)*-1</f>
        <v>-30</v>
      </c>
      <c r="J47" s="244">
        <f>I47*-1</f>
        <v>30</v>
      </c>
      <c r="K47" s="245"/>
      <c r="L47" s="513" t="s">
        <v>107</v>
      </c>
      <c r="M47" s="514"/>
      <c r="N47" s="514"/>
      <c r="O47" s="514"/>
      <c r="P47" s="514"/>
      <c r="Q47" s="514"/>
      <c r="R47" s="515"/>
      <c r="S47" s="246">
        <f>SUM(S35:S46)</f>
        <v>33</v>
      </c>
      <c r="T47" s="88">
        <f>S47</f>
        <v>33</v>
      </c>
      <c r="U47" s="80">
        <f>(S47*$K$53)/$M$53</f>
        <v>6</v>
      </c>
      <c r="W47" s="81">
        <f>(I47*$K$54)/$M$54</f>
        <v>-10.285714285714286</v>
      </c>
    </row>
    <row r="48" spans="2:24" ht="9" customHeight="1" thickTop="1" x14ac:dyDescent="0.55000000000000004">
      <c r="B48" s="247"/>
      <c r="C48" s="247"/>
      <c r="D48" s="247"/>
      <c r="E48" s="247"/>
      <c r="F48" s="247"/>
      <c r="G48" s="247"/>
      <c r="H48" s="247"/>
      <c r="I48" s="247"/>
      <c r="J48" s="247"/>
      <c r="K48" s="248"/>
      <c r="L48" s="247"/>
      <c r="M48" s="247"/>
      <c r="N48" s="247"/>
      <c r="O48" s="247"/>
      <c r="P48" s="247"/>
      <c r="Q48" s="247"/>
      <c r="R48" s="247"/>
      <c r="S48" s="247"/>
      <c r="T48" s="91"/>
    </row>
    <row r="49" spans="2:20" ht="15" customHeight="1" thickBot="1" x14ac:dyDescent="0.6">
      <c r="B49" s="247"/>
      <c r="C49" s="247"/>
      <c r="D49" s="247"/>
      <c r="E49" s="247"/>
      <c r="F49" s="247"/>
      <c r="G49" s="247"/>
      <c r="H49" s="247"/>
      <c r="I49" s="247"/>
      <c r="J49" s="247"/>
      <c r="K49" s="248"/>
      <c r="L49" s="247"/>
      <c r="M49" s="247"/>
      <c r="N49" s="247"/>
      <c r="O49" s="247"/>
      <c r="P49" s="247"/>
      <c r="Q49" s="247"/>
      <c r="R49" s="247"/>
      <c r="S49" s="247"/>
      <c r="T49" s="91"/>
    </row>
    <row r="50" spans="2:20" ht="42.4" customHeight="1" thickTop="1" x14ac:dyDescent="0.55000000000000004">
      <c r="B50" s="505" t="s">
        <v>180</v>
      </c>
      <c r="C50" s="506"/>
      <c r="D50" s="506"/>
      <c r="E50" s="506"/>
      <c r="F50" s="507"/>
      <c r="G50" s="247"/>
      <c r="H50" s="247"/>
      <c r="I50" s="247"/>
      <c r="J50" s="247"/>
      <c r="K50" s="248"/>
      <c r="L50" s="461" t="s">
        <v>110</v>
      </c>
      <c r="M50" s="461"/>
      <c r="N50" s="461"/>
      <c r="O50" s="247"/>
      <c r="P50" s="247"/>
      <c r="Q50" s="247"/>
      <c r="R50" s="247"/>
      <c r="S50" s="247"/>
      <c r="T50" s="91"/>
    </row>
    <row r="51" spans="2:20" ht="42.4" customHeight="1" x14ac:dyDescent="0.55000000000000004">
      <c r="B51" s="508" t="s">
        <v>35</v>
      </c>
      <c r="C51" s="461"/>
      <c r="D51" s="461" t="s">
        <v>40</v>
      </c>
      <c r="E51" s="461"/>
      <c r="F51" s="462"/>
      <c r="G51" s="247"/>
      <c r="H51" s="247"/>
      <c r="I51" s="247"/>
      <c r="J51" s="247"/>
      <c r="K51" s="248"/>
      <c r="L51" s="249" t="s">
        <v>79</v>
      </c>
      <c r="M51" s="250" t="s">
        <v>333</v>
      </c>
      <c r="N51" s="251">
        <f>O51</f>
        <v>0.90909090909090917</v>
      </c>
      <c r="O51" s="252">
        <f>U47+U24</f>
        <v>0.90909090909090917</v>
      </c>
      <c r="P51" s="247"/>
      <c r="Q51" s="247"/>
      <c r="R51" s="247"/>
      <c r="S51" s="247"/>
      <c r="T51" s="91"/>
    </row>
    <row r="52" spans="2:20" ht="51" customHeight="1" x14ac:dyDescent="0.55000000000000004">
      <c r="B52" s="463" t="s">
        <v>37</v>
      </c>
      <c r="C52" s="464"/>
      <c r="D52" s="464" t="s">
        <v>42</v>
      </c>
      <c r="E52" s="464"/>
      <c r="F52" s="465"/>
      <c r="G52" s="247"/>
      <c r="H52" s="247"/>
      <c r="I52" s="253"/>
      <c r="J52" s="253"/>
      <c r="K52" s="254"/>
      <c r="L52" s="255" t="s">
        <v>75</v>
      </c>
      <c r="M52" s="256" t="s">
        <v>334</v>
      </c>
      <c r="N52" s="257">
        <f>O52</f>
        <v>1.7142857142857135</v>
      </c>
      <c r="O52" s="258">
        <f>W24+W47</f>
        <v>1.7142857142857135</v>
      </c>
      <c r="P52" s="247"/>
      <c r="Q52" s="247"/>
      <c r="R52" s="247"/>
      <c r="S52" s="247"/>
      <c r="T52" s="91"/>
    </row>
    <row r="53" spans="2:20" ht="51" customHeight="1" x14ac:dyDescent="0.55000000000000004">
      <c r="B53" s="463" t="s">
        <v>38</v>
      </c>
      <c r="C53" s="464"/>
      <c r="D53" s="466" t="s">
        <v>43</v>
      </c>
      <c r="E53" s="466"/>
      <c r="F53" s="467"/>
      <c r="G53" s="247"/>
      <c r="H53" s="247"/>
      <c r="I53" s="259"/>
      <c r="J53" s="259"/>
      <c r="K53" s="260">
        <v>6</v>
      </c>
      <c r="L53" s="258" t="s">
        <v>79</v>
      </c>
      <c r="M53" s="261">
        <f>MAX(T10:T47)</f>
        <v>33</v>
      </c>
      <c r="N53" s="262"/>
      <c r="O53" s="259"/>
      <c r="P53" s="247"/>
      <c r="Q53" s="247"/>
      <c r="R53" s="247"/>
      <c r="S53" s="247"/>
      <c r="T53" s="91"/>
    </row>
    <row r="54" spans="2:20" ht="51" customHeight="1" thickBot="1" x14ac:dyDescent="0.6">
      <c r="B54" s="458" t="s">
        <v>39</v>
      </c>
      <c r="C54" s="459"/>
      <c r="D54" s="459" t="s">
        <v>44</v>
      </c>
      <c r="E54" s="459"/>
      <c r="F54" s="460"/>
      <c r="G54" s="247"/>
      <c r="H54" s="247"/>
      <c r="I54" s="259"/>
      <c r="J54" s="259"/>
      <c r="K54" s="248">
        <v>12</v>
      </c>
      <c r="L54" s="258" t="s">
        <v>75</v>
      </c>
      <c r="M54" s="261">
        <f>MAX(J10:J47)</f>
        <v>35</v>
      </c>
      <c r="N54" s="262"/>
      <c r="O54" s="259"/>
      <c r="P54" s="247"/>
      <c r="Q54" s="247"/>
      <c r="R54" s="247"/>
      <c r="S54" s="247"/>
      <c r="T54" s="91"/>
    </row>
    <row r="55" spans="2:20" ht="15" customHeight="1" thickTop="1" x14ac:dyDescent="0.6">
      <c r="B55" s="234"/>
      <c r="C55" s="234"/>
      <c r="D55" s="234"/>
      <c r="E55" s="234"/>
      <c r="F55" s="234"/>
      <c r="G55" s="232"/>
      <c r="H55" s="232"/>
      <c r="I55" s="232"/>
      <c r="J55" s="232"/>
      <c r="K55" s="233"/>
      <c r="L55" s="232"/>
      <c r="M55" s="232"/>
      <c r="N55" s="232"/>
      <c r="O55" s="232"/>
      <c r="P55" s="232"/>
      <c r="Q55" s="232"/>
      <c r="R55" s="232"/>
      <c r="S55" s="232"/>
    </row>
    <row r="56" spans="2:20" ht="15" customHeight="1" x14ac:dyDescent="0.35">
      <c r="B56" s="42"/>
      <c r="C56" s="42"/>
      <c r="D56" s="42"/>
      <c r="E56" s="42"/>
      <c r="F56" s="42"/>
      <c r="G56" s="42"/>
      <c r="H56" s="42"/>
      <c r="I56" s="42"/>
      <c r="J56" s="42"/>
      <c r="L56" s="42"/>
      <c r="M56" s="42"/>
      <c r="N56" s="42"/>
      <c r="O56" s="42"/>
      <c r="P56" s="42"/>
      <c r="Q56" s="42"/>
      <c r="R56" s="42"/>
      <c r="S56" s="42"/>
    </row>
    <row r="57" spans="2:20" x14ac:dyDescent="0.35">
      <c r="B57" s="42"/>
      <c r="C57" s="42"/>
      <c r="D57" s="42"/>
      <c r="E57" s="42"/>
      <c r="F57" s="42"/>
      <c r="G57" s="42"/>
      <c r="H57" s="42"/>
      <c r="I57" s="42"/>
      <c r="J57" s="42"/>
      <c r="L57" s="42"/>
      <c r="M57" s="42"/>
      <c r="N57" s="42"/>
      <c r="O57" s="42"/>
      <c r="P57" s="42"/>
      <c r="Q57" s="42"/>
      <c r="R57" s="42"/>
      <c r="S57" s="42"/>
    </row>
    <row r="58" spans="2:20" x14ac:dyDescent="0.35">
      <c r="B58" s="42"/>
      <c r="C58" s="42"/>
      <c r="D58" s="42"/>
      <c r="E58" s="42"/>
      <c r="F58" s="42"/>
      <c r="G58" s="42"/>
      <c r="H58" s="42"/>
      <c r="I58" s="42"/>
      <c r="J58" s="42"/>
      <c r="L58" s="42"/>
      <c r="M58" s="42"/>
      <c r="N58" s="42"/>
      <c r="O58" s="42"/>
      <c r="P58" s="42"/>
      <c r="Q58" s="42"/>
      <c r="R58" s="42"/>
      <c r="S58" s="42"/>
    </row>
    <row r="59" spans="2:20" x14ac:dyDescent="0.35">
      <c r="B59" s="42"/>
      <c r="C59" s="42"/>
      <c r="D59" s="42"/>
      <c r="E59" s="42"/>
      <c r="F59" s="42"/>
      <c r="G59" s="42"/>
      <c r="H59" s="42"/>
      <c r="I59" s="42"/>
      <c r="J59" s="42"/>
      <c r="L59" s="42"/>
      <c r="M59" s="42"/>
      <c r="N59" s="42"/>
      <c r="O59" s="42"/>
      <c r="P59" s="42"/>
      <c r="Q59" s="42"/>
      <c r="R59" s="42"/>
      <c r="S59" s="42"/>
    </row>
    <row r="60" spans="2:20" ht="15" customHeight="1" x14ac:dyDescent="0.35">
      <c r="B60" s="42"/>
      <c r="C60" s="42"/>
      <c r="D60" s="42"/>
      <c r="E60" s="42"/>
      <c r="F60" s="42"/>
      <c r="G60" s="42"/>
      <c r="H60" s="42"/>
      <c r="I60" s="42"/>
      <c r="J60" s="42"/>
      <c r="L60" s="42"/>
      <c r="M60" s="42"/>
      <c r="N60" s="42"/>
      <c r="O60" s="42"/>
      <c r="P60" s="42"/>
      <c r="Q60" s="42"/>
      <c r="R60" s="42"/>
      <c r="S60" s="42"/>
    </row>
    <row r="61" spans="2:20" ht="15" customHeight="1" x14ac:dyDescent="0.35">
      <c r="B61" s="42"/>
      <c r="C61" s="42"/>
      <c r="D61" s="42"/>
      <c r="E61" s="42"/>
      <c r="F61" s="42"/>
      <c r="G61" s="42"/>
      <c r="H61" s="42"/>
      <c r="I61" s="42"/>
      <c r="J61" s="42"/>
      <c r="L61" s="42"/>
      <c r="M61" s="42"/>
      <c r="N61" s="42"/>
      <c r="O61" s="42"/>
      <c r="P61" s="42"/>
      <c r="Q61" s="42"/>
      <c r="R61" s="42"/>
      <c r="S61" s="42"/>
    </row>
    <row r="62" spans="2:20" ht="15" customHeight="1" x14ac:dyDescent="0.35">
      <c r="B62" s="42"/>
      <c r="C62" s="42"/>
      <c r="D62" s="42"/>
      <c r="E62" s="42"/>
      <c r="F62" s="42"/>
      <c r="G62" s="42"/>
      <c r="H62" s="42"/>
      <c r="I62" s="42"/>
      <c r="J62" s="42"/>
      <c r="L62" s="42"/>
      <c r="M62" s="42"/>
      <c r="N62" s="42"/>
      <c r="O62" s="42"/>
      <c r="P62" s="42"/>
      <c r="Q62" s="42"/>
      <c r="R62" s="42"/>
      <c r="S62" s="42"/>
    </row>
    <row r="63" spans="2:20" ht="15" customHeight="1" x14ac:dyDescent="0.35">
      <c r="B63" s="42"/>
      <c r="C63" s="42"/>
      <c r="D63" s="42"/>
      <c r="E63" s="42"/>
      <c r="F63" s="42"/>
      <c r="G63" s="42"/>
      <c r="H63" s="42"/>
      <c r="I63" s="42"/>
      <c r="J63" s="42"/>
      <c r="L63" s="42"/>
      <c r="M63" s="42"/>
      <c r="N63" s="42"/>
      <c r="O63" s="42"/>
      <c r="P63" s="42"/>
      <c r="Q63" s="42"/>
      <c r="R63" s="42"/>
      <c r="S63" s="42"/>
    </row>
    <row r="64" spans="2:20" ht="15" customHeight="1" x14ac:dyDescent="0.35">
      <c r="B64" s="42"/>
      <c r="C64" s="42"/>
      <c r="D64" s="42"/>
      <c r="E64" s="42"/>
      <c r="F64" s="42"/>
      <c r="G64" s="42"/>
      <c r="H64" s="42"/>
      <c r="I64" s="42"/>
      <c r="J64" s="42"/>
      <c r="L64" s="42"/>
      <c r="M64" s="42"/>
      <c r="N64" s="42"/>
      <c r="O64" s="42"/>
      <c r="P64" s="42"/>
      <c r="Q64" s="42"/>
      <c r="R64" s="42"/>
      <c r="S64" s="42"/>
    </row>
    <row r="65" spans="4:13" ht="15" customHeight="1" x14ac:dyDescent="0.35"/>
    <row r="68" spans="4:13" ht="15" customHeight="1" x14ac:dyDescent="0.35"/>
    <row r="69" spans="4:13" ht="15" customHeight="1" x14ac:dyDescent="0.35">
      <c r="D69" s="43"/>
      <c r="E69" s="44"/>
      <c r="F69" s="44"/>
      <c r="G69" s="44"/>
      <c r="H69" s="44"/>
      <c r="I69" s="44"/>
      <c r="J69" s="44"/>
      <c r="K69" s="49"/>
      <c r="L69" s="44"/>
      <c r="M69" s="44"/>
    </row>
    <row r="70" spans="4:13" ht="15" customHeight="1" x14ac:dyDescent="0.35">
      <c r="D70" s="44"/>
      <c r="E70" s="44"/>
      <c r="F70" s="44"/>
      <c r="G70" s="44"/>
      <c r="H70" s="44"/>
      <c r="I70" s="44"/>
      <c r="J70" s="44"/>
      <c r="K70" s="49"/>
      <c r="L70" s="44"/>
      <c r="M70" s="44"/>
    </row>
    <row r="71" spans="4:13" ht="15" customHeight="1" x14ac:dyDescent="0.35">
      <c r="D71" s="44"/>
      <c r="E71" s="44"/>
      <c r="F71" s="44"/>
      <c r="G71" s="44"/>
      <c r="H71" s="44"/>
      <c r="I71" s="44"/>
      <c r="J71" s="44"/>
      <c r="K71" s="49"/>
      <c r="L71" s="44"/>
      <c r="M71" s="44"/>
    </row>
    <row r="72" spans="4:13" ht="15" customHeight="1" x14ac:dyDescent="0.35">
      <c r="D72" s="44"/>
      <c r="E72" s="44"/>
      <c r="F72" s="44"/>
      <c r="G72" s="44"/>
      <c r="H72" s="44"/>
      <c r="I72" s="44"/>
      <c r="J72" s="44"/>
      <c r="K72" s="49"/>
      <c r="L72" s="44"/>
      <c r="M72" s="44"/>
    </row>
    <row r="73" spans="4:13" ht="15" customHeight="1" x14ac:dyDescent="0.35">
      <c r="D73" s="44"/>
      <c r="E73" s="44"/>
      <c r="F73" s="44"/>
      <c r="G73" s="44"/>
      <c r="H73" s="44"/>
      <c r="I73" s="44"/>
      <c r="J73" s="44"/>
      <c r="K73" s="49"/>
      <c r="L73" s="44"/>
      <c r="M73" s="44"/>
    </row>
  </sheetData>
  <mergeCells count="87">
    <mergeCell ref="B54:C54"/>
    <mergeCell ref="D54:F54"/>
    <mergeCell ref="B51:C51"/>
    <mergeCell ref="D51:F51"/>
    <mergeCell ref="B52:C52"/>
    <mergeCell ref="D52:F52"/>
    <mergeCell ref="B53:C53"/>
    <mergeCell ref="D53:F53"/>
    <mergeCell ref="B44:E44"/>
    <mergeCell ref="L44:O44"/>
    <mergeCell ref="B50:F50"/>
    <mergeCell ref="L50:N50"/>
    <mergeCell ref="B45:E45"/>
    <mergeCell ref="L45:O45"/>
    <mergeCell ref="B46:E46"/>
    <mergeCell ref="B47:H47"/>
    <mergeCell ref="L47:R47"/>
    <mergeCell ref="L46:O46"/>
    <mergeCell ref="B41:E41"/>
    <mergeCell ref="L41:O41"/>
    <mergeCell ref="B42:E42"/>
    <mergeCell ref="L42:O42"/>
    <mergeCell ref="B43:E43"/>
    <mergeCell ref="L43:O43"/>
    <mergeCell ref="B38:E38"/>
    <mergeCell ref="L38:O38"/>
    <mergeCell ref="B39:E39"/>
    <mergeCell ref="L39:O39"/>
    <mergeCell ref="B40:E40"/>
    <mergeCell ref="L40:O40"/>
    <mergeCell ref="B22:E22"/>
    <mergeCell ref="B36:E36"/>
    <mergeCell ref="L36:O36"/>
    <mergeCell ref="B37:E37"/>
    <mergeCell ref="L37:O37"/>
    <mergeCell ref="B20:E20"/>
    <mergeCell ref="L20:O20"/>
    <mergeCell ref="B21:E21"/>
    <mergeCell ref="L21:O21"/>
    <mergeCell ref="B35:E35"/>
    <mergeCell ref="L35:O35"/>
    <mergeCell ref="B24:H24"/>
    <mergeCell ref="L24:R24"/>
    <mergeCell ref="B34:E34"/>
    <mergeCell ref="L34:O34"/>
    <mergeCell ref="B27:F27"/>
    <mergeCell ref="L27:N27"/>
    <mergeCell ref="B28:C28"/>
    <mergeCell ref="L23:O23"/>
    <mergeCell ref="L22:O22"/>
    <mergeCell ref="B23:E23"/>
    <mergeCell ref="R1:S2"/>
    <mergeCell ref="R3:S4"/>
    <mergeCell ref="R5:S6"/>
    <mergeCell ref="L15:O15"/>
    <mergeCell ref="B16:E16"/>
    <mergeCell ref="L16:O16"/>
    <mergeCell ref="A1:B6"/>
    <mergeCell ref="B8:E8"/>
    <mergeCell ref="L8:O8"/>
    <mergeCell ref="B10:E10"/>
    <mergeCell ref="L10:O10"/>
    <mergeCell ref="C1:Q2"/>
    <mergeCell ref="C3:Q4"/>
    <mergeCell ref="C5:Q6"/>
    <mergeCell ref="B11:E11"/>
    <mergeCell ref="L11:O11"/>
    <mergeCell ref="B12:E12"/>
    <mergeCell ref="L12:O12"/>
    <mergeCell ref="B13:E13"/>
    <mergeCell ref="L13:O13"/>
    <mergeCell ref="B14:E14"/>
    <mergeCell ref="L14:O14"/>
    <mergeCell ref="B15:E15"/>
    <mergeCell ref="B31:C31"/>
    <mergeCell ref="D31:F31"/>
    <mergeCell ref="D28:F28"/>
    <mergeCell ref="B29:C29"/>
    <mergeCell ref="D29:F29"/>
    <mergeCell ref="B30:C30"/>
    <mergeCell ref="D30:F30"/>
    <mergeCell ref="B17:E17"/>
    <mergeCell ref="L17:O17"/>
    <mergeCell ref="B18:E18"/>
    <mergeCell ref="L18:O18"/>
    <mergeCell ref="B19:E19"/>
    <mergeCell ref="L19:O19"/>
  </mergeCells>
  <conditionalFormatting sqref="B24 L45:O45 B22:J23 L46 P10:T23 F10:J21 B46 S35:T46">
    <cfRule type="cellIs" dxfId="94" priority="32" operator="equal">
      <formula>0</formula>
    </cfRule>
  </conditionalFormatting>
  <conditionalFormatting sqref="B47">
    <cfRule type="cellIs" dxfId="93" priority="30" operator="equal">
      <formula>0</formula>
    </cfRule>
  </conditionalFormatting>
  <conditionalFormatting sqref="F35:H36 F43:H46 F37:G42">
    <cfRule type="cellIs" dxfId="92" priority="29" operator="equal">
      <formula>0</formula>
    </cfRule>
  </conditionalFormatting>
  <conditionalFormatting sqref="I35:J46">
    <cfRule type="cellIs" dxfId="91" priority="28" operator="equal">
      <formula>0</formula>
    </cfRule>
  </conditionalFormatting>
  <conditionalFormatting sqref="P45:R45 P43:Q44 P46:Q46">
    <cfRule type="cellIs" dxfId="90" priority="27" operator="equal">
      <formula>0</formula>
    </cfRule>
  </conditionalFormatting>
  <conditionalFormatting sqref="P37:Q38 P40:Q42 P39 R39 P35:Q35 Q36:R36">
    <cfRule type="cellIs" dxfId="89" priority="26" operator="equal">
      <formula>0</formula>
    </cfRule>
  </conditionalFormatting>
  <conditionalFormatting sqref="B45">
    <cfRule type="cellIs" dxfId="88" priority="21" operator="equal">
      <formula>0</formula>
    </cfRule>
  </conditionalFormatting>
  <conditionalFormatting sqref="B10:E21">
    <cfRule type="cellIs" dxfId="87" priority="14" operator="equal">
      <formula>0</formula>
    </cfRule>
  </conditionalFormatting>
  <conditionalFormatting sqref="L43:O44">
    <cfRule type="cellIs" dxfId="86" priority="13" operator="equal">
      <formula>0</formula>
    </cfRule>
  </conditionalFormatting>
  <conditionalFormatting sqref="L35:L39">
    <cfRule type="cellIs" dxfId="85" priority="12" operator="equal">
      <formula>0</formula>
    </cfRule>
  </conditionalFormatting>
  <conditionalFormatting sqref="L40">
    <cfRule type="cellIs" dxfId="84" priority="11" operator="equal">
      <formula>0</formula>
    </cfRule>
  </conditionalFormatting>
  <conditionalFormatting sqref="L41">
    <cfRule type="cellIs" dxfId="83" priority="10" operator="equal">
      <formula>0</formula>
    </cfRule>
  </conditionalFormatting>
  <conditionalFormatting sqref="B44">
    <cfRule type="cellIs" dxfId="82" priority="9" operator="equal">
      <formula>0</formula>
    </cfRule>
  </conditionalFormatting>
  <conditionalFormatting sqref="B35:E35 B36:B44">
    <cfRule type="cellIs" dxfId="81" priority="8" operator="equal">
      <formula>0</formula>
    </cfRule>
  </conditionalFormatting>
  <conditionalFormatting sqref="H37:H42">
    <cfRule type="cellIs" dxfId="80" priority="7" operator="equal">
      <formula>0</formula>
    </cfRule>
  </conditionalFormatting>
  <conditionalFormatting sqref="R46">
    <cfRule type="cellIs" dxfId="79" priority="1" operator="equal">
      <formula>0</formula>
    </cfRule>
  </conditionalFormatting>
  <conditionalFormatting sqref="R40:R44">
    <cfRule type="cellIs" dxfId="78" priority="6" operator="equal">
      <formula>0</formula>
    </cfRule>
  </conditionalFormatting>
  <conditionalFormatting sqref="Q39">
    <cfRule type="cellIs" dxfId="77" priority="5" operator="equal">
      <formula>0</formula>
    </cfRule>
  </conditionalFormatting>
  <conditionalFormatting sqref="R35">
    <cfRule type="cellIs" dxfId="76" priority="4" operator="equal">
      <formula>0</formula>
    </cfRule>
  </conditionalFormatting>
  <conditionalFormatting sqref="P36">
    <cfRule type="cellIs" dxfId="75" priority="3" operator="equal">
      <formula>0</formula>
    </cfRule>
  </conditionalFormatting>
  <conditionalFormatting sqref="R37:R38">
    <cfRule type="cellIs" dxfId="74" priority="2" operator="equal">
      <formula>0</formula>
    </cfRule>
  </conditionalFormatting>
  <dataValidations count="1">
    <dataValidation operator="equal" allowBlank="1" showInputMessage="1" showErrorMessage="1" sqref="S10:T23 S35:T46" xr:uid="{00000000-0002-0000-0400-000000000000}"/>
  </dataValidations>
  <printOptions horizontalCentered="1"/>
  <pageMargins left="0.51181102362204722" right="0.51181102362204722" top="0.82677165354330717" bottom="0.55118110236220474" header="0.31496062992125984" footer="0.31496062992125984"/>
  <pageSetup scale="31" fitToHeight="0" orientation="landscape" r:id="rId1"/>
  <headerFooter>
    <oddFooter>&amp;R&amp;"Arial,Normal"&amp;18Página &amp;P de &amp;N</oddFooter>
  </headerFooter>
  <rowBreaks count="1" manualBreakCount="1">
    <brk id="33"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BR38"/>
  <sheetViews>
    <sheetView view="pageBreakPreview" zoomScale="70" zoomScaleNormal="80" zoomScaleSheetLayoutView="70" zoomScalePageLayoutView="60" workbookViewId="0">
      <selection activeCell="B10" sqref="B10:D35"/>
    </sheetView>
  </sheetViews>
  <sheetFormatPr baseColWidth="10" defaultColWidth="2.73046875" defaultRowHeight="13.5" x14ac:dyDescent="0.35"/>
  <cols>
    <col min="1" max="1" width="17.86328125" style="42" customWidth="1"/>
    <col min="2" max="2" width="3.59765625" style="120" customWidth="1"/>
    <col min="3" max="14" width="3.73046875" style="120" customWidth="1"/>
    <col min="15" max="15" width="3.86328125" style="120" customWidth="1"/>
    <col min="16" max="25" width="3.73046875" style="120" customWidth="1"/>
    <col min="26" max="26" width="4.1328125" style="120" customWidth="1"/>
    <col min="27" max="27" width="2.73046875" style="36"/>
    <col min="28" max="28" width="23.1328125" style="36" customWidth="1"/>
    <col min="29" max="62" width="2.73046875" style="36"/>
    <col min="63" max="63" width="15" style="36" customWidth="1"/>
    <col min="64" max="64" width="20" style="36" customWidth="1"/>
    <col min="65" max="65" width="2.73046875" style="36"/>
    <col min="66" max="66" width="16.73046875" style="42" hidden="1" customWidth="1"/>
    <col min="67" max="67" width="3.3984375" style="36" customWidth="1"/>
    <col min="68" max="68" width="12.73046875" style="36" customWidth="1"/>
    <col min="69" max="69" width="6.1328125" style="36" customWidth="1"/>
    <col min="70" max="70" width="2.265625" style="36" hidden="1" customWidth="1"/>
    <col min="71" max="89" width="0" style="42" hidden="1" customWidth="1"/>
    <col min="90" max="16384" width="2.73046875" style="42"/>
  </cols>
  <sheetData>
    <row r="1" spans="1:70" s="129" customFormat="1" ht="30" customHeight="1" thickBot="1" x14ac:dyDescent="0.5">
      <c r="A1" s="516"/>
      <c r="B1" s="516"/>
      <c r="C1" s="516"/>
      <c r="D1" s="516"/>
      <c r="E1" s="516"/>
      <c r="F1" s="516"/>
      <c r="G1" s="516"/>
      <c r="H1" s="516"/>
      <c r="I1" s="516"/>
      <c r="J1" s="517" t="s">
        <v>294</v>
      </c>
      <c r="K1" s="517"/>
      <c r="L1" s="517"/>
      <c r="M1" s="517"/>
      <c r="N1" s="517"/>
      <c r="O1" s="517"/>
      <c r="P1" s="517"/>
      <c r="Q1" s="517"/>
      <c r="R1" s="517"/>
      <c r="S1" s="517"/>
      <c r="T1" s="517"/>
      <c r="U1" s="517"/>
      <c r="V1" s="517"/>
      <c r="W1" s="517"/>
      <c r="X1" s="517"/>
      <c r="Y1" s="517"/>
      <c r="Z1" s="517"/>
      <c r="AA1" s="517"/>
      <c r="AB1" s="517"/>
      <c r="AC1" s="517"/>
      <c r="AD1" s="517"/>
      <c r="AE1" s="517"/>
      <c r="AF1" s="517"/>
      <c r="AG1" s="517"/>
      <c r="AH1" s="517"/>
      <c r="AI1" s="517"/>
      <c r="AJ1" s="517"/>
      <c r="AK1" s="517"/>
      <c r="AL1" s="517"/>
      <c r="AM1" s="517"/>
      <c r="AN1" s="517"/>
      <c r="AO1" s="517"/>
      <c r="AP1" s="517"/>
      <c r="AQ1" s="517"/>
      <c r="AR1" s="517"/>
      <c r="AS1" s="517"/>
      <c r="AT1" s="517"/>
      <c r="AU1" s="517"/>
      <c r="AV1" s="517"/>
      <c r="AW1" s="517"/>
      <c r="AX1" s="517"/>
      <c r="AY1" s="517"/>
      <c r="AZ1" s="517"/>
      <c r="BA1" s="517"/>
      <c r="BB1" s="517"/>
      <c r="BC1" s="517"/>
      <c r="BD1" s="517"/>
      <c r="BE1" s="517"/>
      <c r="BF1" s="517"/>
      <c r="BG1" s="517"/>
      <c r="BH1" s="517"/>
      <c r="BI1" s="517"/>
      <c r="BJ1" s="517"/>
      <c r="BK1" s="517"/>
      <c r="BL1" s="518" t="s">
        <v>181</v>
      </c>
      <c r="BM1" s="518"/>
      <c r="BN1" s="518"/>
      <c r="BO1" s="518"/>
      <c r="BP1" s="518"/>
      <c r="BQ1" s="518"/>
    </row>
    <row r="2" spans="1:70" s="129" customFormat="1" ht="18" customHeight="1" thickBot="1" x14ac:dyDescent="0.5">
      <c r="A2" s="516"/>
      <c r="B2" s="516"/>
      <c r="C2" s="516"/>
      <c r="D2" s="516"/>
      <c r="E2" s="516"/>
      <c r="F2" s="516"/>
      <c r="G2" s="516"/>
      <c r="H2" s="516"/>
      <c r="I2" s="516"/>
      <c r="J2" s="517"/>
      <c r="K2" s="517"/>
      <c r="L2" s="517"/>
      <c r="M2" s="517"/>
      <c r="N2" s="517"/>
      <c r="O2" s="517"/>
      <c r="P2" s="517"/>
      <c r="Q2" s="517"/>
      <c r="R2" s="517"/>
      <c r="S2" s="517"/>
      <c r="T2" s="517"/>
      <c r="U2" s="517"/>
      <c r="V2" s="517"/>
      <c r="W2" s="517"/>
      <c r="X2" s="517"/>
      <c r="Y2" s="517"/>
      <c r="Z2" s="517"/>
      <c r="AA2" s="517"/>
      <c r="AB2" s="517"/>
      <c r="AC2" s="517"/>
      <c r="AD2" s="517"/>
      <c r="AE2" s="517"/>
      <c r="AF2" s="517"/>
      <c r="AG2" s="517"/>
      <c r="AH2" s="517"/>
      <c r="AI2" s="517"/>
      <c r="AJ2" s="517"/>
      <c r="AK2" s="517"/>
      <c r="AL2" s="517"/>
      <c r="AM2" s="517"/>
      <c r="AN2" s="517"/>
      <c r="AO2" s="517"/>
      <c r="AP2" s="517"/>
      <c r="AQ2" s="517"/>
      <c r="AR2" s="517"/>
      <c r="AS2" s="517"/>
      <c r="AT2" s="517"/>
      <c r="AU2" s="517"/>
      <c r="AV2" s="517"/>
      <c r="AW2" s="517"/>
      <c r="AX2" s="517"/>
      <c r="AY2" s="517"/>
      <c r="AZ2" s="517"/>
      <c r="BA2" s="517"/>
      <c r="BB2" s="517"/>
      <c r="BC2" s="517"/>
      <c r="BD2" s="517"/>
      <c r="BE2" s="517"/>
      <c r="BF2" s="517"/>
      <c r="BG2" s="517"/>
      <c r="BH2" s="517"/>
      <c r="BI2" s="517"/>
      <c r="BJ2" s="517"/>
      <c r="BK2" s="517"/>
      <c r="BL2" s="518"/>
      <c r="BM2" s="518"/>
      <c r="BN2" s="518"/>
      <c r="BO2" s="518"/>
      <c r="BP2" s="518"/>
      <c r="BQ2" s="518"/>
    </row>
    <row r="3" spans="1:70" s="129" customFormat="1" ht="30" customHeight="1" thickBot="1" x14ac:dyDescent="0.5">
      <c r="A3" s="516"/>
      <c r="B3" s="516"/>
      <c r="C3" s="516"/>
      <c r="D3" s="516"/>
      <c r="E3" s="516"/>
      <c r="F3" s="516"/>
      <c r="G3" s="516"/>
      <c r="H3" s="516"/>
      <c r="I3" s="516"/>
      <c r="J3" s="519" t="s">
        <v>297</v>
      </c>
      <c r="K3" s="517"/>
      <c r="L3" s="517"/>
      <c r="M3" s="517"/>
      <c r="N3" s="517"/>
      <c r="O3" s="517"/>
      <c r="P3" s="517"/>
      <c r="Q3" s="517"/>
      <c r="R3" s="517"/>
      <c r="S3" s="517"/>
      <c r="T3" s="517"/>
      <c r="U3" s="517"/>
      <c r="V3" s="517"/>
      <c r="W3" s="517"/>
      <c r="X3" s="517"/>
      <c r="Y3" s="517"/>
      <c r="Z3" s="517"/>
      <c r="AA3" s="517"/>
      <c r="AB3" s="517"/>
      <c r="AC3" s="517"/>
      <c r="AD3" s="517"/>
      <c r="AE3" s="517"/>
      <c r="AF3" s="517"/>
      <c r="AG3" s="517"/>
      <c r="AH3" s="517"/>
      <c r="AI3" s="517"/>
      <c r="AJ3" s="517"/>
      <c r="AK3" s="517"/>
      <c r="AL3" s="517"/>
      <c r="AM3" s="517"/>
      <c r="AN3" s="517"/>
      <c r="AO3" s="517"/>
      <c r="AP3" s="517"/>
      <c r="AQ3" s="517"/>
      <c r="AR3" s="517"/>
      <c r="AS3" s="517"/>
      <c r="AT3" s="517"/>
      <c r="AU3" s="517"/>
      <c r="AV3" s="517"/>
      <c r="AW3" s="517"/>
      <c r="AX3" s="517"/>
      <c r="AY3" s="517"/>
      <c r="AZ3" s="517"/>
      <c r="BA3" s="517"/>
      <c r="BB3" s="517"/>
      <c r="BC3" s="517"/>
      <c r="BD3" s="517"/>
      <c r="BE3" s="517"/>
      <c r="BF3" s="517"/>
      <c r="BG3" s="517"/>
      <c r="BH3" s="517"/>
      <c r="BI3" s="517"/>
      <c r="BJ3" s="517"/>
      <c r="BK3" s="517"/>
      <c r="BL3" s="520" t="s">
        <v>190</v>
      </c>
      <c r="BM3" s="520"/>
      <c r="BN3" s="520"/>
      <c r="BO3" s="520"/>
      <c r="BP3" s="520"/>
      <c r="BQ3" s="520"/>
    </row>
    <row r="4" spans="1:70" s="129" customFormat="1" ht="30" customHeight="1" thickBot="1" x14ac:dyDescent="0.5">
      <c r="A4" s="516"/>
      <c r="B4" s="516"/>
      <c r="C4" s="516"/>
      <c r="D4" s="516"/>
      <c r="E4" s="516"/>
      <c r="F4" s="516"/>
      <c r="G4" s="516"/>
      <c r="H4" s="516"/>
      <c r="I4" s="516"/>
      <c r="J4" s="517"/>
      <c r="K4" s="517"/>
      <c r="L4" s="517"/>
      <c r="M4" s="517"/>
      <c r="N4" s="517"/>
      <c r="O4" s="517"/>
      <c r="P4" s="517"/>
      <c r="Q4" s="517"/>
      <c r="R4" s="517"/>
      <c r="S4" s="517"/>
      <c r="T4" s="517"/>
      <c r="U4" s="517"/>
      <c r="V4" s="517"/>
      <c r="W4" s="517"/>
      <c r="X4" s="517"/>
      <c r="Y4" s="517"/>
      <c r="Z4" s="517"/>
      <c r="AA4" s="517"/>
      <c r="AB4" s="517"/>
      <c r="AC4" s="517"/>
      <c r="AD4" s="517"/>
      <c r="AE4" s="517"/>
      <c r="AF4" s="517"/>
      <c r="AG4" s="517"/>
      <c r="AH4" s="517"/>
      <c r="AI4" s="517"/>
      <c r="AJ4" s="517"/>
      <c r="AK4" s="517"/>
      <c r="AL4" s="517"/>
      <c r="AM4" s="517"/>
      <c r="AN4" s="517"/>
      <c r="AO4" s="517"/>
      <c r="AP4" s="517"/>
      <c r="AQ4" s="517"/>
      <c r="AR4" s="517"/>
      <c r="AS4" s="517"/>
      <c r="AT4" s="517"/>
      <c r="AU4" s="517"/>
      <c r="AV4" s="517"/>
      <c r="AW4" s="517"/>
      <c r="AX4" s="517"/>
      <c r="AY4" s="517"/>
      <c r="AZ4" s="517"/>
      <c r="BA4" s="517"/>
      <c r="BB4" s="517"/>
      <c r="BC4" s="517"/>
      <c r="BD4" s="517"/>
      <c r="BE4" s="517"/>
      <c r="BF4" s="517"/>
      <c r="BG4" s="517"/>
      <c r="BH4" s="517"/>
      <c r="BI4" s="517"/>
      <c r="BJ4" s="517"/>
      <c r="BK4" s="517"/>
      <c r="BL4" s="520"/>
      <c r="BM4" s="520"/>
      <c r="BN4" s="520"/>
      <c r="BO4" s="520"/>
      <c r="BP4" s="520"/>
      <c r="BQ4" s="520"/>
    </row>
    <row r="5" spans="1:70" s="36" customFormat="1" ht="30" customHeight="1" thickBot="1" x14ac:dyDescent="0.4">
      <c r="A5" s="516"/>
      <c r="B5" s="516"/>
      <c r="C5" s="516"/>
      <c r="D5" s="516"/>
      <c r="E5" s="516"/>
      <c r="F5" s="516"/>
      <c r="G5" s="516"/>
      <c r="H5" s="516"/>
      <c r="I5" s="516"/>
      <c r="J5" s="521" t="s">
        <v>293</v>
      </c>
      <c r="K5" s="521"/>
      <c r="L5" s="521"/>
      <c r="M5" s="521"/>
      <c r="N5" s="521"/>
      <c r="O5" s="521"/>
      <c r="P5" s="521"/>
      <c r="Q5" s="521"/>
      <c r="R5" s="521"/>
      <c r="S5" s="521"/>
      <c r="T5" s="521"/>
      <c r="U5" s="521"/>
      <c r="V5" s="521"/>
      <c r="W5" s="521"/>
      <c r="X5" s="521"/>
      <c r="Y5" s="521"/>
      <c r="Z5" s="521"/>
      <c r="AA5" s="521"/>
      <c r="AB5" s="521"/>
      <c r="AC5" s="521"/>
      <c r="AD5" s="521"/>
      <c r="AE5" s="521"/>
      <c r="AF5" s="521"/>
      <c r="AG5" s="521"/>
      <c r="AH5" s="521"/>
      <c r="AI5" s="521"/>
      <c r="AJ5" s="521"/>
      <c r="AK5" s="521"/>
      <c r="AL5" s="521"/>
      <c r="AM5" s="521"/>
      <c r="AN5" s="521"/>
      <c r="AO5" s="521"/>
      <c r="AP5" s="521"/>
      <c r="AQ5" s="521"/>
      <c r="AR5" s="521"/>
      <c r="AS5" s="521"/>
      <c r="AT5" s="521"/>
      <c r="AU5" s="521"/>
      <c r="AV5" s="521"/>
      <c r="AW5" s="521"/>
      <c r="AX5" s="521"/>
      <c r="AY5" s="521"/>
      <c r="AZ5" s="521"/>
      <c r="BA5" s="521"/>
      <c r="BB5" s="521"/>
      <c r="BC5" s="521"/>
      <c r="BD5" s="521"/>
      <c r="BE5" s="521"/>
      <c r="BF5" s="521"/>
      <c r="BG5" s="521"/>
      <c r="BH5" s="521"/>
      <c r="BI5" s="521"/>
      <c r="BJ5" s="521"/>
      <c r="BK5" s="521"/>
      <c r="BL5" s="522">
        <v>43854</v>
      </c>
      <c r="BM5" s="522"/>
      <c r="BN5" s="522"/>
      <c r="BO5" s="522"/>
      <c r="BP5" s="522"/>
      <c r="BQ5" s="522"/>
    </row>
    <row r="6" spans="1:70" s="36" customFormat="1" ht="10.5" customHeight="1" thickBot="1" x14ac:dyDescent="0.4">
      <c r="A6" s="516"/>
      <c r="B6" s="516"/>
      <c r="C6" s="516"/>
      <c r="D6" s="516"/>
      <c r="E6" s="516"/>
      <c r="F6" s="516"/>
      <c r="G6" s="516"/>
      <c r="H6" s="516"/>
      <c r="I6" s="516"/>
      <c r="J6" s="521"/>
      <c r="K6" s="521"/>
      <c r="L6" s="521"/>
      <c r="M6" s="521"/>
      <c r="N6" s="521"/>
      <c r="O6" s="521"/>
      <c r="P6" s="521"/>
      <c r="Q6" s="521"/>
      <c r="R6" s="521"/>
      <c r="S6" s="521"/>
      <c r="T6" s="521"/>
      <c r="U6" s="521"/>
      <c r="V6" s="521"/>
      <c r="W6" s="521"/>
      <c r="X6" s="521"/>
      <c r="Y6" s="521"/>
      <c r="Z6" s="521"/>
      <c r="AA6" s="521"/>
      <c r="AB6" s="521"/>
      <c r="AC6" s="521"/>
      <c r="AD6" s="521"/>
      <c r="AE6" s="521"/>
      <c r="AF6" s="521"/>
      <c r="AG6" s="521"/>
      <c r="AH6" s="521"/>
      <c r="AI6" s="521"/>
      <c r="AJ6" s="521"/>
      <c r="AK6" s="521"/>
      <c r="AL6" s="521"/>
      <c r="AM6" s="521"/>
      <c r="AN6" s="521"/>
      <c r="AO6" s="521"/>
      <c r="AP6" s="521"/>
      <c r="AQ6" s="521"/>
      <c r="AR6" s="521"/>
      <c r="AS6" s="521"/>
      <c r="AT6" s="521"/>
      <c r="AU6" s="521"/>
      <c r="AV6" s="521"/>
      <c r="AW6" s="521"/>
      <c r="AX6" s="521"/>
      <c r="AY6" s="521"/>
      <c r="AZ6" s="521"/>
      <c r="BA6" s="521"/>
      <c r="BB6" s="521"/>
      <c r="BC6" s="521"/>
      <c r="BD6" s="521"/>
      <c r="BE6" s="521"/>
      <c r="BF6" s="521"/>
      <c r="BG6" s="521"/>
      <c r="BH6" s="521"/>
      <c r="BI6" s="521"/>
      <c r="BJ6" s="521"/>
      <c r="BK6" s="521"/>
      <c r="BL6" s="522"/>
      <c r="BM6" s="522"/>
      <c r="BN6" s="522"/>
      <c r="BO6" s="522"/>
      <c r="BP6" s="522"/>
      <c r="BQ6" s="522"/>
    </row>
    <row r="9" spans="1:70" ht="17.649999999999999" x14ac:dyDescent="0.35">
      <c r="B9" s="526"/>
      <c r="C9" s="526"/>
      <c r="D9" s="526"/>
      <c r="E9" s="526"/>
      <c r="F9" s="526"/>
      <c r="G9" s="526"/>
      <c r="H9" s="526"/>
      <c r="I9" s="526"/>
      <c r="J9" s="526"/>
      <c r="K9" s="526"/>
      <c r="L9" s="526"/>
      <c r="M9" s="526"/>
      <c r="N9" s="526"/>
      <c r="O9" s="526"/>
      <c r="P9" s="526"/>
      <c r="Q9" s="526"/>
      <c r="R9" s="526"/>
      <c r="S9" s="526"/>
      <c r="T9" s="526"/>
      <c r="U9" s="526"/>
      <c r="V9" s="526"/>
      <c r="W9" s="526"/>
      <c r="X9" s="526"/>
      <c r="Y9" s="526"/>
      <c r="Z9" s="526"/>
      <c r="AB9" s="171" t="s">
        <v>112</v>
      </c>
      <c r="AC9" s="527" t="str">
        <f>IF(AND(AND(AU34&gt;=0,AU35&gt;=0),AND(AU34&lt;=3,AU35&lt;=6)),"A",IF(AND(AND(AU34&gt;=0,AU35&gt;6),AND(AU34&lt;=3,AU35&lt;=12)),"D",IF(AND(AND(AU34&gt;3,AU35&gt;=0),AND(AU34&lt;=6,AU35&lt;=6)),"B",IF(AND(AND(AU34&gt;3,AU35&gt;6),AND(AU34&lt;=6,AU35&lt;=12)),"C",IF(AND(AND(AU34&gt;=0,AU35&lt;0),AND(AU34&lt;=3,AU35&gt;=-6)),"A",IF(AND(AND(AU34&gt;=0,AU35&lt;-6),AND(AU34&lt;=3,AU35&gt;=-12)),"D",IF(AND(AND(AU34&gt;3,AU35&lt;0),AND(AU34&lt;=6,AU35&gt;=-6)),"B",IF(AND(AND(AU34&gt;3,AU35&lt;-6),AND(AU34&lt;=6,AU35&gt;=-12)),"C",IF(AND(AND(AU34&lt;0,AU35&gt;0),AND(AU34&gt;=-3,AU35&lt;=6)),"A",IF(AND(AND(AU34&lt;-3,AU35&gt;0),AND(AU34&gt;=-6,AU35&lt;=6)),"B",IF(AND(AND(AU34&lt;-3,AU35&gt;6),AND(AU34&gt;=-6,AU35&lt;=12)),"C",IF(AND(AND(AU34&lt;0,AU35&gt;6),AND(AU34&gt;=-3,AU35&lt;=12)),"D",IF(AND(AND(AU34&lt;0,AU35&lt;0),AND(AU34&gt;=-3,AU35&gt;=-6)),"A",IF(AND(AND(AU34&lt;-3,AU35&lt;0),AND(AU34&gt;=-6,AU35&gt;=-6)),"B",IF(AND(AND(AU34&lt;-3,AU35&lt;-6),AND(AU34&gt;=-6,AU35&gt;=-12)),"C",IF(AND(AND(AU34&lt;0,AU35&lt;-6),AND(AU34&gt;=-3,AU35&gt;=-12)),"D","error"))))))))))))))))</f>
        <v>A</v>
      </c>
      <c r="AD9" s="527"/>
      <c r="AE9" s="527"/>
      <c r="AF9" s="527"/>
      <c r="AG9" s="527"/>
      <c r="AH9" s="527"/>
      <c r="AI9" s="527"/>
      <c r="AJ9" s="527"/>
      <c r="AK9" s="527"/>
      <c r="AL9" s="527"/>
      <c r="AM9" s="527"/>
      <c r="AN9" s="527"/>
      <c r="AO9" s="527"/>
      <c r="AP9" s="527"/>
      <c r="AQ9" s="527"/>
      <c r="AR9" s="527"/>
      <c r="AS9" s="527"/>
      <c r="AT9" s="527"/>
      <c r="AU9" s="528" t="str">
        <f>IF(AND(AND(AU34&gt;=0,AU35&gt;=0),AND(AU34&lt;=6,AU35&lt;=12)),"Perfil Agresivo",IF(AND(AND(AU34&lt;0,AU35&gt;=0),AND(AU34&gt;=-6,AU35&lt;=12)),"Perfil Re Orientación",IF(AND(AND(AU34&lt;0,AU35&lt;0),AND(AU34&gt;=-6,AU35&gt;=-12)),"Perfil Defensivo",IF(AND(AND(AU34&gt;=0,AU35&lt;0),AND(AU34&lt;=6,AU35&gt;=-12)),"Perfil Supervivencia","Error"))))</f>
        <v>Perfil Agresivo</v>
      </c>
      <c r="AV9" s="528"/>
      <c r="AW9" s="528"/>
      <c r="AX9" s="528"/>
      <c r="AY9" s="528"/>
      <c r="AZ9" s="528"/>
      <c r="BA9" s="528"/>
      <c r="BB9" s="528"/>
      <c r="BC9" s="528"/>
      <c r="BD9" s="528"/>
      <c r="BE9" s="528"/>
      <c r="BF9" s="528"/>
      <c r="BG9" s="528"/>
      <c r="BH9" s="528"/>
      <c r="BI9" s="528"/>
      <c r="BJ9" s="528"/>
      <c r="BK9" s="528"/>
      <c r="BL9" s="528"/>
      <c r="BM9" s="528"/>
      <c r="BN9" s="36"/>
    </row>
    <row r="10" spans="1:70" ht="15.75" customHeight="1" x14ac:dyDescent="0.35">
      <c r="B10" s="529"/>
      <c r="C10" s="93"/>
      <c r="D10" s="94"/>
      <c r="E10" s="94"/>
      <c r="F10" s="94"/>
      <c r="G10" s="94"/>
      <c r="H10" s="94"/>
      <c r="I10" s="94"/>
      <c r="J10" s="94"/>
      <c r="K10" s="94"/>
      <c r="L10" s="94"/>
      <c r="M10" s="94"/>
      <c r="N10" s="94"/>
      <c r="O10" s="94"/>
      <c r="P10" s="94"/>
      <c r="Q10" s="94"/>
      <c r="R10" s="94"/>
      <c r="S10" s="94"/>
      <c r="T10" s="94"/>
      <c r="U10" s="94"/>
      <c r="V10" s="94"/>
      <c r="W10" s="94"/>
      <c r="X10" s="94"/>
      <c r="Y10" s="95"/>
      <c r="Z10" s="526"/>
      <c r="AB10" s="461" t="s">
        <v>113</v>
      </c>
      <c r="AC10" s="461"/>
      <c r="AD10" s="461"/>
      <c r="AE10" s="461"/>
      <c r="AF10" s="461"/>
      <c r="AG10" s="461"/>
      <c r="AH10" s="461"/>
      <c r="AI10" s="461"/>
      <c r="AJ10" s="461"/>
      <c r="AK10" s="461"/>
      <c r="AL10" s="461"/>
      <c r="AM10" s="461"/>
      <c r="AN10" s="461"/>
      <c r="AO10" s="461"/>
      <c r="AP10" s="461"/>
      <c r="AQ10" s="461"/>
      <c r="AR10" s="461"/>
      <c r="AS10" s="461"/>
      <c r="AT10" s="461"/>
      <c r="AU10" s="461"/>
      <c r="AV10" s="461"/>
      <c r="AW10" s="461"/>
      <c r="AX10" s="461"/>
      <c r="AY10" s="461"/>
      <c r="AZ10" s="461"/>
      <c r="BA10" s="461"/>
      <c r="BB10" s="461"/>
      <c r="BC10" s="461"/>
      <c r="BD10" s="461"/>
      <c r="BE10" s="461"/>
      <c r="BF10" s="461"/>
      <c r="BG10" s="461"/>
      <c r="BH10" s="461"/>
      <c r="BI10" s="461"/>
      <c r="BJ10" s="461"/>
      <c r="BK10" s="461"/>
      <c r="BL10" s="461"/>
      <c r="BM10" s="461"/>
      <c r="BO10" s="42"/>
      <c r="BP10" s="42"/>
      <c r="BQ10" s="42"/>
      <c r="BR10" s="42"/>
    </row>
    <row r="11" spans="1:70" ht="15.75" customHeight="1" x14ac:dyDescent="0.35">
      <c r="B11" s="529"/>
      <c r="C11" s="96"/>
      <c r="D11" s="97"/>
      <c r="E11" s="530" t="s">
        <v>149</v>
      </c>
      <c r="F11" s="531"/>
      <c r="G11" s="531"/>
      <c r="H11" s="531"/>
      <c r="I11" s="531"/>
      <c r="J11" s="531"/>
      <c r="K11" s="532"/>
      <c r="L11" s="97"/>
      <c r="M11" s="97"/>
      <c r="N11" s="525" t="s">
        <v>75</v>
      </c>
      <c r="O11" s="525"/>
      <c r="P11" s="97"/>
      <c r="Q11" s="97"/>
      <c r="R11" s="537" t="s">
        <v>76</v>
      </c>
      <c r="S11" s="538"/>
      <c r="T11" s="538"/>
      <c r="U11" s="538"/>
      <c r="V11" s="538"/>
      <c r="W11" s="538"/>
      <c r="X11" s="539"/>
      <c r="Y11" s="98"/>
      <c r="Z11" s="526"/>
      <c r="AB11" s="461"/>
      <c r="AC11" s="461"/>
      <c r="AD11" s="461"/>
      <c r="AE11" s="461"/>
      <c r="AF11" s="461"/>
      <c r="AG11" s="461"/>
      <c r="AH11" s="461"/>
      <c r="AI11" s="461"/>
      <c r="AJ11" s="461"/>
      <c r="AK11" s="461"/>
      <c r="AL11" s="461"/>
      <c r="AM11" s="461"/>
      <c r="AN11" s="461"/>
      <c r="AO11" s="461"/>
      <c r="AP11" s="461"/>
      <c r="AQ11" s="461"/>
      <c r="AR11" s="461"/>
      <c r="AS11" s="461"/>
      <c r="AT11" s="461"/>
      <c r="AU11" s="461"/>
      <c r="AV11" s="461"/>
      <c r="AW11" s="461"/>
      <c r="AX11" s="461"/>
      <c r="AY11" s="461"/>
      <c r="AZ11" s="461"/>
      <c r="BA11" s="461"/>
      <c r="BB11" s="461"/>
      <c r="BC11" s="461"/>
      <c r="BD11" s="461"/>
      <c r="BE11" s="461"/>
      <c r="BF11" s="461"/>
      <c r="BG11" s="461"/>
      <c r="BH11" s="461"/>
      <c r="BI11" s="461"/>
      <c r="BJ11" s="461"/>
      <c r="BK11" s="461"/>
      <c r="BL11" s="461"/>
      <c r="BM11" s="461"/>
      <c r="BO11" s="562"/>
      <c r="BP11" s="562"/>
      <c r="BQ11" s="562"/>
      <c r="BR11" s="562"/>
    </row>
    <row r="12" spans="1:70" ht="22.5" x14ac:dyDescent="0.35">
      <c r="B12" s="529"/>
      <c r="C12" s="96"/>
      <c r="D12" s="97"/>
      <c r="E12" s="533"/>
      <c r="F12" s="534"/>
      <c r="G12" s="534"/>
      <c r="H12" s="534"/>
      <c r="I12" s="534"/>
      <c r="J12" s="534"/>
      <c r="K12" s="535"/>
      <c r="L12" s="97"/>
      <c r="M12" s="97"/>
      <c r="N12" s="525"/>
      <c r="O12" s="536"/>
      <c r="P12" s="97"/>
      <c r="Q12" s="97"/>
      <c r="R12" s="540"/>
      <c r="S12" s="541"/>
      <c r="T12" s="541"/>
      <c r="U12" s="541"/>
      <c r="V12" s="541"/>
      <c r="W12" s="541"/>
      <c r="X12" s="542"/>
      <c r="Y12" s="98"/>
      <c r="Z12" s="526"/>
      <c r="AB12" s="461" t="s">
        <v>77</v>
      </c>
      <c r="AC12" s="461"/>
      <c r="AD12" s="461"/>
      <c r="AE12" s="461"/>
      <c r="AF12" s="461"/>
      <c r="AG12" s="461"/>
      <c r="AH12" s="461"/>
      <c r="AI12" s="461"/>
      <c r="AJ12" s="461"/>
      <c r="AK12" s="461"/>
      <c r="AL12" s="461"/>
      <c r="AM12" s="461"/>
      <c r="AN12" s="461"/>
      <c r="AO12" s="461"/>
      <c r="AP12" s="461"/>
      <c r="AQ12" s="461"/>
      <c r="AR12" s="461"/>
      <c r="AS12" s="461"/>
      <c r="AT12" s="461"/>
      <c r="AU12" s="461" t="s">
        <v>78</v>
      </c>
      <c r="AV12" s="461"/>
      <c r="AW12" s="461"/>
      <c r="AX12" s="461"/>
      <c r="AY12" s="461"/>
      <c r="AZ12" s="461"/>
      <c r="BA12" s="461"/>
      <c r="BB12" s="461"/>
      <c r="BC12" s="461"/>
      <c r="BD12" s="461"/>
      <c r="BE12" s="461"/>
      <c r="BF12" s="461"/>
      <c r="BG12" s="461"/>
      <c r="BH12" s="461"/>
      <c r="BI12" s="461"/>
      <c r="BJ12" s="461"/>
      <c r="BK12" s="461"/>
      <c r="BL12" s="461"/>
      <c r="BM12" s="461"/>
      <c r="BO12" s="562"/>
      <c r="BP12" s="562"/>
      <c r="BQ12" s="562"/>
      <c r="BR12" s="562"/>
    </row>
    <row r="13" spans="1:70" ht="15" customHeight="1" x14ac:dyDescent="0.35">
      <c r="B13" s="529"/>
      <c r="C13" s="96"/>
      <c r="D13" s="97"/>
      <c r="E13" s="97"/>
      <c r="F13" s="97"/>
      <c r="G13" s="97"/>
      <c r="H13" s="97"/>
      <c r="I13" s="97"/>
      <c r="J13" s="97"/>
      <c r="K13" s="97"/>
      <c r="L13" s="97"/>
      <c r="M13" s="97"/>
      <c r="N13" s="99"/>
      <c r="O13" s="100"/>
      <c r="P13" s="97"/>
      <c r="Q13" s="97"/>
      <c r="R13" s="97"/>
      <c r="S13" s="97"/>
      <c r="T13" s="97"/>
      <c r="U13" s="97"/>
      <c r="V13" s="97"/>
      <c r="W13" s="97"/>
      <c r="X13" s="97"/>
      <c r="Y13" s="98"/>
      <c r="Z13" s="526"/>
      <c r="AB13" s="563" t="str">
        <f>VLOOKUP(BR15,Perfiles!C3:D18,2,FALSE)</f>
        <v>PERFIL A): Institución y Competencia muy estable (zona de confort +).</v>
      </c>
      <c r="AC13" s="563"/>
      <c r="AD13" s="563"/>
      <c r="AE13" s="563"/>
      <c r="AF13" s="563"/>
      <c r="AG13" s="563"/>
      <c r="AH13" s="563"/>
      <c r="AI13" s="563"/>
      <c r="AJ13" s="563"/>
      <c r="AK13" s="563"/>
      <c r="AL13" s="563"/>
      <c r="AM13" s="563"/>
      <c r="AN13" s="563"/>
      <c r="AO13" s="563"/>
      <c r="AP13" s="563"/>
      <c r="AQ13" s="563"/>
      <c r="AR13" s="563"/>
      <c r="AS13" s="563"/>
      <c r="AT13" s="563"/>
      <c r="AU13" s="564" t="str">
        <f>VLOOKUP(AB13,Perfiles!D3:E18,2,FALSE)</f>
        <v>Institución financieramente estable que no ha obtenido ventajas competitivas importantes en una Institución estable. 
Institución estable en penetración del mercado y desarrollo del servicio.
Institución que cumple con los estándares y procesos definidos por conveniencia propia y por la Institución.
Institución que demuestra una comunicación estable interna y externamente.
Institución de estructura estable y buena capacidad de reorganizar actividades frente a un riesgo.
Institución con personal competente y comprometido con una estructura buena en todas sus áreas.
Institución con un ambiente laboral bueno. 
Institución en cuyos niveles de satisfacción al Cliente interno y externo son buenos. 
Institución con buen nivel de liderazgo y empoderamiento en las diferentes jerarquías de la misma. 
Institución con soportes internos y/o externos (perteneciente a un Grupo), que apoya a la línea de productos y/o servicios a todas las partes interesadas.</v>
      </c>
      <c r="AV13" s="564"/>
      <c r="AW13" s="564"/>
      <c r="AX13" s="564"/>
      <c r="AY13" s="564"/>
      <c r="AZ13" s="564"/>
      <c r="BA13" s="564"/>
      <c r="BB13" s="564"/>
      <c r="BC13" s="564"/>
      <c r="BD13" s="564"/>
      <c r="BE13" s="564"/>
      <c r="BF13" s="564"/>
      <c r="BG13" s="564"/>
      <c r="BH13" s="564"/>
      <c r="BI13" s="564"/>
      <c r="BJ13" s="564"/>
      <c r="BK13" s="564"/>
      <c r="BL13" s="564"/>
      <c r="BM13" s="564"/>
      <c r="BO13" s="562"/>
      <c r="BP13" s="562"/>
      <c r="BQ13" s="562"/>
      <c r="BR13" s="562"/>
    </row>
    <row r="14" spans="1:70" ht="15" customHeight="1" x14ac:dyDescent="0.35">
      <c r="B14" s="529"/>
      <c r="C14" s="96"/>
      <c r="D14" s="97"/>
      <c r="E14" s="97"/>
      <c r="F14" s="97"/>
      <c r="G14" s="97"/>
      <c r="H14" s="97"/>
      <c r="I14" s="97"/>
      <c r="J14" s="97"/>
      <c r="K14" s="97"/>
      <c r="L14" s="97"/>
      <c r="M14" s="97"/>
      <c r="N14" s="99">
        <v>16</v>
      </c>
      <c r="O14" s="100"/>
      <c r="P14" s="97"/>
      <c r="Q14" s="97"/>
      <c r="R14" s="97"/>
      <c r="S14" s="97"/>
      <c r="T14" s="97"/>
      <c r="U14" s="97"/>
      <c r="V14" s="97"/>
      <c r="W14" s="97"/>
      <c r="X14" s="97"/>
      <c r="Y14" s="98"/>
      <c r="Z14" s="526"/>
      <c r="AB14" s="563"/>
      <c r="AC14" s="563"/>
      <c r="AD14" s="563"/>
      <c r="AE14" s="563"/>
      <c r="AF14" s="563"/>
      <c r="AG14" s="563"/>
      <c r="AH14" s="563"/>
      <c r="AI14" s="563"/>
      <c r="AJ14" s="563"/>
      <c r="AK14" s="563"/>
      <c r="AL14" s="563"/>
      <c r="AM14" s="563"/>
      <c r="AN14" s="563"/>
      <c r="AO14" s="563"/>
      <c r="AP14" s="563"/>
      <c r="AQ14" s="563"/>
      <c r="AR14" s="563"/>
      <c r="AS14" s="563"/>
      <c r="AT14" s="563"/>
      <c r="AU14" s="564"/>
      <c r="AV14" s="564"/>
      <c r="AW14" s="564"/>
      <c r="AX14" s="564"/>
      <c r="AY14" s="564"/>
      <c r="AZ14" s="564"/>
      <c r="BA14" s="564"/>
      <c r="BB14" s="564"/>
      <c r="BC14" s="564"/>
      <c r="BD14" s="564"/>
      <c r="BE14" s="564"/>
      <c r="BF14" s="564"/>
      <c r="BG14" s="564"/>
      <c r="BH14" s="564"/>
      <c r="BI14" s="564"/>
      <c r="BJ14" s="564"/>
      <c r="BK14" s="564"/>
      <c r="BL14" s="564"/>
      <c r="BM14" s="564"/>
      <c r="BN14" s="48"/>
      <c r="BO14" s="42"/>
      <c r="BP14" s="42"/>
      <c r="BQ14" s="42"/>
      <c r="BR14" s="42"/>
    </row>
    <row r="15" spans="1:70" ht="38.25" customHeight="1" x14ac:dyDescent="0.35">
      <c r="B15" s="529"/>
      <c r="C15" s="96"/>
      <c r="D15" s="97"/>
      <c r="E15" s="97"/>
      <c r="F15" s="97"/>
      <c r="G15" s="97"/>
      <c r="H15" s="97"/>
      <c r="I15" s="97"/>
      <c r="J15" s="97"/>
      <c r="K15" s="97"/>
      <c r="L15" s="97"/>
      <c r="M15" s="97"/>
      <c r="N15" s="99">
        <v>14</v>
      </c>
      <c r="O15" s="100"/>
      <c r="P15" s="97"/>
      <c r="Q15" s="97"/>
      <c r="R15" s="97"/>
      <c r="S15" s="97"/>
      <c r="T15" s="97"/>
      <c r="U15" s="97"/>
      <c r="V15" s="97"/>
      <c r="W15" s="97"/>
      <c r="X15" s="97"/>
      <c r="Y15" s="98"/>
      <c r="Z15" s="526"/>
      <c r="AB15" s="563"/>
      <c r="AC15" s="563"/>
      <c r="AD15" s="563"/>
      <c r="AE15" s="563"/>
      <c r="AF15" s="563"/>
      <c r="AG15" s="563"/>
      <c r="AH15" s="563"/>
      <c r="AI15" s="563"/>
      <c r="AJ15" s="563"/>
      <c r="AK15" s="563"/>
      <c r="AL15" s="563"/>
      <c r="AM15" s="563"/>
      <c r="AN15" s="563"/>
      <c r="AO15" s="563"/>
      <c r="AP15" s="563"/>
      <c r="AQ15" s="563"/>
      <c r="AR15" s="563"/>
      <c r="AS15" s="563"/>
      <c r="AT15" s="563"/>
      <c r="AU15" s="564"/>
      <c r="AV15" s="564"/>
      <c r="AW15" s="564"/>
      <c r="AX15" s="564"/>
      <c r="AY15" s="564"/>
      <c r="AZ15" s="564"/>
      <c r="BA15" s="564"/>
      <c r="BB15" s="564"/>
      <c r="BC15" s="564"/>
      <c r="BD15" s="564"/>
      <c r="BE15" s="564"/>
      <c r="BF15" s="564"/>
      <c r="BG15" s="564"/>
      <c r="BH15" s="564"/>
      <c r="BI15" s="564"/>
      <c r="BJ15" s="564"/>
      <c r="BK15" s="564"/>
      <c r="BL15" s="564"/>
      <c r="BM15" s="564"/>
      <c r="BN15" s="48"/>
      <c r="BO15" s="42"/>
      <c r="BP15" s="42"/>
      <c r="BQ15" s="42"/>
      <c r="BR15" s="42" t="str">
        <f>IF(AND(AND(AU34&gt;=0,AU35&gt;=0),AND(AU34&lt;=3,AU35&lt;=6)),"a",IF(AND(AND(AU34&gt;=0,AU35&gt;6),AND(AU34&lt;=3,AU35&lt;=12)),"d",IF(AND(AND(AU34&gt;3,AU35&gt;=0),AND(AU34&lt;=6,AU35&lt;=6)),"b",IF(AND(AND(AU34&gt;3,AU35&gt;6),AND(AU34&lt;=6,AU35&lt;=12)),"c",IF(AND(AND(AU34&gt;=0,AU35&lt;0),AND(AU34&lt;=3,AU35&gt;=-6)),"e",IF(AND(AND(AU34&gt;=0,AU35&lt;-6),AND(AU34&lt;=3,AU35&gt;=-12)),"h",IF(AND(AND(AU34&gt;3,AU35&lt;0),AND(AU34&lt;=6,AU35&gt;=-6)),"f",IF(AND(AND(AU34&gt;3,AU35&lt;-6),AND(AU34&lt;=6,AU35&gt;=-12)),"g",IF(AND(AND(AU34&lt;0,AU35&gt;0),AND(AU34&gt;=-3,AU35&lt;=6)),"i",IF(AND(AND(AU34&lt;-3,AU35&gt;0),AND(AU34&gt;=-6,AU35&lt;=6)),"j",IF(AND(AND(AU34&lt;-3,AU35&gt;6),AND(AU34&gt;=-6,AU35&lt;=12)),"k",IF(AND(AND(AU34&lt;0,AU35&gt;6),AND(AU34&gt;=-3,AU35&lt;=12)),"l",IF(AND(AND(AU34&lt;0,AU35&lt;0),AND(AU34&gt;=-3,AU35&gt;=-6)),"m",IF(AND(AND(AU34&lt;-3,AU35&lt;0),AND(AU34&gt;=-6,AU35&gt;=-6)),"h",IF(AND(AND(AU34&lt;-3,AU35&lt;-6),AND(AU34&gt;=-6,AU35&gt;=-12)),"o",IF(AND(AND(AU34&lt;0,AU35&lt;-6),AND(AU34&gt;=-3,AU35&gt;=-12)),"p","error"))))))))))))))))</f>
        <v>a</v>
      </c>
    </row>
    <row r="16" spans="1:70" ht="15" customHeight="1" x14ac:dyDescent="0.35">
      <c r="B16" s="529"/>
      <c r="C16" s="96"/>
      <c r="D16" s="97"/>
      <c r="E16" s="97"/>
      <c r="F16" s="97"/>
      <c r="G16" s="97"/>
      <c r="H16" s="97"/>
      <c r="I16" s="97"/>
      <c r="J16" s="97"/>
      <c r="K16" s="97"/>
      <c r="L16" s="97"/>
      <c r="M16" s="97"/>
      <c r="N16" s="99">
        <v>12</v>
      </c>
      <c r="O16" s="97"/>
      <c r="P16" s="97"/>
      <c r="Q16" s="97"/>
      <c r="R16" s="97"/>
      <c r="S16" s="97"/>
      <c r="T16" s="97"/>
      <c r="U16" s="97"/>
      <c r="V16" s="97"/>
      <c r="W16" s="97"/>
      <c r="X16" s="97"/>
      <c r="Y16" s="98"/>
      <c r="Z16" s="526"/>
      <c r="AB16" s="563"/>
      <c r="AC16" s="563"/>
      <c r="AD16" s="563"/>
      <c r="AE16" s="563"/>
      <c r="AF16" s="563"/>
      <c r="AG16" s="563"/>
      <c r="AH16" s="563"/>
      <c r="AI16" s="563"/>
      <c r="AJ16" s="563"/>
      <c r="AK16" s="563"/>
      <c r="AL16" s="563"/>
      <c r="AM16" s="563"/>
      <c r="AN16" s="563"/>
      <c r="AO16" s="563"/>
      <c r="AP16" s="563"/>
      <c r="AQ16" s="563"/>
      <c r="AR16" s="563"/>
      <c r="AS16" s="563"/>
      <c r="AT16" s="563"/>
      <c r="AU16" s="564"/>
      <c r="AV16" s="564"/>
      <c r="AW16" s="564"/>
      <c r="AX16" s="564"/>
      <c r="AY16" s="564"/>
      <c r="AZ16" s="564"/>
      <c r="BA16" s="564"/>
      <c r="BB16" s="564"/>
      <c r="BC16" s="564"/>
      <c r="BD16" s="564"/>
      <c r="BE16" s="564"/>
      <c r="BF16" s="564"/>
      <c r="BG16" s="564"/>
      <c r="BH16" s="564"/>
      <c r="BI16" s="564"/>
      <c r="BJ16" s="564"/>
      <c r="BK16" s="564"/>
      <c r="BL16" s="564"/>
      <c r="BM16" s="564"/>
      <c r="BN16" s="48"/>
      <c r="BO16" s="42"/>
      <c r="BP16" s="42"/>
      <c r="BQ16" s="42"/>
      <c r="BR16" s="42"/>
    </row>
    <row r="17" spans="2:70" ht="15" customHeight="1" x14ac:dyDescent="0.35">
      <c r="B17" s="529"/>
      <c r="C17" s="96"/>
      <c r="D17" s="97"/>
      <c r="E17" s="97"/>
      <c r="F17" s="97"/>
      <c r="G17" s="97"/>
      <c r="H17" s="97"/>
      <c r="I17" s="97"/>
      <c r="J17" s="97"/>
      <c r="K17" s="97"/>
      <c r="L17" s="97"/>
      <c r="M17" s="97"/>
      <c r="N17" s="99">
        <v>10</v>
      </c>
      <c r="O17" s="101"/>
      <c r="P17" s="97"/>
      <c r="Q17" s="97"/>
      <c r="R17" s="97"/>
      <c r="S17" s="97"/>
      <c r="T17" s="97"/>
      <c r="U17" s="97"/>
      <c r="V17" s="97"/>
      <c r="W17" s="97"/>
      <c r="X17" s="97"/>
      <c r="Y17" s="98"/>
      <c r="Z17" s="526"/>
      <c r="AB17" s="563"/>
      <c r="AC17" s="563"/>
      <c r="AD17" s="563"/>
      <c r="AE17" s="563"/>
      <c r="AF17" s="563"/>
      <c r="AG17" s="563"/>
      <c r="AH17" s="563"/>
      <c r="AI17" s="563"/>
      <c r="AJ17" s="563"/>
      <c r="AK17" s="563"/>
      <c r="AL17" s="563"/>
      <c r="AM17" s="563"/>
      <c r="AN17" s="563"/>
      <c r="AO17" s="563"/>
      <c r="AP17" s="563"/>
      <c r="AQ17" s="563"/>
      <c r="AR17" s="563"/>
      <c r="AS17" s="563"/>
      <c r="AT17" s="563"/>
      <c r="AU17" s="564"/>
      <c r="AV17" s="564"/>
      <c r="AW17" s="564"/>
      <c r="AX17" s="564"/>
      <c r="AY17" s="564"/>
      <c r="AZ17" s="564"/>
      <c r="BA17" s="564"/>
      <c r="BB17" s="564"/>
      <c r="BC17" s="564"/>
      <c r="BD17" s="564"/>
      <c r="BE17" s="564"/>
      <c r="BF17" s="564"/>
      <c r="BG17" s="564"/>
      <c r="BH17" s="564"/>
      <c r="BI17" s="564"/>
      <c r="BJ17" s="564"/>
      <c r="BK17" s="564"/>
      <c r="BL17" s="564"/>
      <c r="BM17" s="564"/>
      <c r="BN17" s="48"/>
      <c r="BO17" s="42"/>
      <c r="BP17" s="42"/>
      <c r="BQ17" s="42"/>
      <c r="BR17" s="42"/>
    </row>
    <row r="18" spans="2:70" ht="15" customHeight="1" x14ac:dyDescent="0.35">
      <c r="B18" s="529"/>
      <c r="C18" s="96"/>
      <c r="D18" s="97"/>
      <c r="E18" s="97"/>
      <c r="F18" s="97"/>
      <c r="G18" s="97"/>
      <c r="H18" s="97"/>
      <c r="I18" s="97"/>
      <c r="J18" s="97"/>
      <c r="K18" s="97"/>
      <c r="L18" s="97"/>
      <c r="M18" s="97"/>
      <c r="N18" s="99">
        <v>8</v>
      </c>
      <c r="O18" s="102"/>
      <c r="P18" s="97"/>
      <c r="Q18" s="97"/>
      <c r="R18" s="97"/>
      <c r="S18" s="97"/>
      <c r="T18" s="97"/>
      <c r="U18" s="97"/>
      <c r="V18" s="97"/>
      <c r="W18" s="97"/>
      <c r="X18" s="97"/>
      <c r="Y18" s="98"/>
      <c r="Z18" s="526"/>
      <c r="AB18" s="563"/>
      <c r="AC18" s="563"/>
      <c r="AD18" s="563"/>
      <c r="AE18" s="563"/>
      <c r="AF18" s="563"/>
      <c r="AG18" s="563"/>
      <c r="AH18" s="563"/>
      <c r="AI18" s="563"/>
      <c r="AJ18" s="563"/>
      <c r="AK18" s="563"/>
      <c r="AL18" s="563"/>
      <c r="AM18" s="563"/>
      <c r="AN18" s="563"/>
      <c r="AO18" s="563"/>
      <c r="AP18" s="563"/>
      <c r="AQ18" s="563"/>
      <c r="AR18" s="563"/>
      <c r="AS18" s="563"/>
      <c r="AT18" s="563"/>
      <c r="AU18" s="564"/>
      <c r="AV18" s="564"/>
      <c r="AW18" s="564"/>
      <c r="AX18" s="564"/>
      <c r="AY18" s="564"/>
      <c r="AZ18" s="564"/>
      <c r="BA18" s="564"/>
      <c r="BB18" s="564"/>
      <c r="BC18" s="564"/>
      <c r="BD18" s="564"/>
      <c r="BE18" s="564"/>
      <c r="BF18" s="564"/>
      <c r="BG18" s="564"/>
      <c r="BH18" s="564"/>
      <c r="BI18" s="564"/>
      <c r="BJ18" s="564"/>
      <c r="BK18" s="564"/>
      <c r="BL18" s="564"/>
      <c r="BM18" s="564"/>
      <c r="BO18" s="42"/>
      <c r="BP18" s="42"/>
      <c r="BQ18" s="42"/>
      <c r="BR18" s="42"/>
    </row>
    <row r="19" spans="2:70" ht="15" customHeight="1" x14ac:dyDescent="0.35">
      <c r="B19" s="529"/>
      <c r="C19" s="96"/>
      <c r="D19" s="97"/>
      <c r="E19" s="97"/>
      <c r="F19" s="97"/>
      <c r="G19" s="97"/>
      <c r="H19" s="97"/>
      <c r="I19" s="97"/>
      <c r="J19" s="97"/>
      <c r="K19" s="97"/>
      <c r="L19" s="97"/>
      <c r="M19" s="97"/>
      <c r="N19" s="99">
        <v>6</v>
      </c>
      <c r="O19" s="103"/>
      <c r="P19" s="97"/>
      <c r="Q19" s="97"/>
      <c r="R19" s="97"/>
      <c r="S19" s="97"/>
      <c r="T19" s="97"/>
      <c r="U19" s="97"/>
      <c r="V19" s="97"/>
      <c r="W19" s="97"/>
      <c r="X19" s="97"/>
      <c r="Y19" s="98"/>
      <c r="Z19" s="526"/>
      <c r="AB19" s="563"/>
      <c r="AC19" s="563"/>
      <c r="AD19" s="563"/>
      <c r="AE19" s="563"/>
      <c r="AF19" s="563"/>
      <c r="AG19" s="563"/>
      <c r="AH19" s="563"/>
      <c r="AI19" s="563"/>
      <c r="AJ19" s="563"/>
      <c r="AK19" s="563"/>
      <c r="AL19" s="563"/>
      <c r="AM19" s="563"/>
      <c r="AN19" s="563"/>
      <c r="AO19" s="563"/>
      <c r="AP19" s="563"/>
      <c r="AQ19" s="563"/>
      <c r="AR19" s="563"/>
      <c r="AS19" s="563"/>
      <c r="AT19" s="563"/>
      <c r="AU19" s="564"/>
      <c r="AV19" s="564"/>
      <c r="AW19" s="564"/>
      <c r="AX19" s="564"/>
      <c r="AY19" s="564"/>
      <c r="AZ19" s="564"/>
      <c r="BA19" s="564"/>
      <c r="BB19" s="564"/>
      <c r="BC19" s="564"/>
      <c r="BD19" s="564"/>
      <c r="BE19" s="564"/>
      <c r="BF19" s="564"/>
      <c r="BG19" s="564"/>
      <c r="BH19" s="564"/>
      <c r="BI19" s="564"/>
      <c r="BJ19" s="564"/>
      <c r="BK19" s="564"/>
      <c r="BL19" s="564"/>
      <c r="BM19" s="564"/>
      <c r="BO19" s="42"/>
      <c r="BP19" s="42"/>
      <c r="BQ19" s="42"/>
      <c r="BR19" s="42"/>
    </row>
    <row r="20" spans="2:70" ht="15" customHeight="1" x14ac:dyDescent="0.35">
      <c r="B20" s="529"/>
      <c r="C20" s="96"/>
      <c r="D20" s="97"/>
      <c r="E20" s="97"/>
      <c r="F20" s="97"/>
      <c r="G20" s="97"/>
      <c r="H20" s="97"/>
      <c r="I20" s="97"/>
      <c r="J20" s="97"/>
      <c r="K20" s="97"/>
      <c r="L20" s="97"/>
      <c r="M20" s="97"/>
      <c r="N20" s="99">
        <v>4</v>
      </c>
      <c r="O20" s="103"/>
      <c r="P20" s="97"/>
      <c r="Q20" s="97"/>
      <c r="R20" s="97"/>
      <c r="S20" s="97"/>
      <c r="T20" s="97"/>
      <c r="U20" s="97"/>
      <c r="V20" s="97"/>
      <c r="W20" s="97"/>
      <c r="X20" s="97"/>
      <c r="Y20" s="98"/>
      <c r="Z20" s="526"/>
      <c r="AB20" s="563"/>
      <c r="AC20" s="563"/>
      <c r="AD20" s="563"/>
      <c r="AE20" s="563"/>
      <c r="AF20" s="563"/>
      <c r="AG20" s="563"/>
      <c r="AH20" s="563"/>
      <c r="AI20" s="563"/>
      <c r="AJ20" s="563"/>
      <c r="AK20" s="563"/>
      <c r="AL20" s="563"/>
      <c r="AM20" s="563"/>
      <c r="AN20" s="563"/>
      <c r="AO20" s="563"/>
      <c r="AP20" s="563"/>
      <c r="AQ20" s="563"/>
      <c r="AR20" s="563"/>
      <c r="AS20" s="563"/>
      <c r="AT20" s="563"/>
      <c r="AU20" s="564"/>
      <c r="AV20" s="564"/>
      <c r="AW20" s="564"/>
      <c r="AX20" s="564"/>
      <c r="AY20" s="564"/>
      <c r="AZ20" s="564"/>
      <c r="BA20" s="564"/>
      <c r="BB20" s="564"/>
      <c r="BC20" s="564"/>
      <c r="BD20" s="564"/>
      <c r="BE20" s="564"/>
      <c r="BF20" s="564"/>
      <c r="BG20" s="564"/>
      <c r="BH20" s="564"/>
      <c r="BI20" s="564"/>
      <c r="BJ20" s="564"/>
      <c r="BK20" s="564"/>
      <c r="BL20" s="564"/>
      <c r="BM20" s="564"/>
      <c r="BO20" s="42"/>
      <c r="BP20" s="42"/>
      <c r="BQ20" s="42"/>
      <c r="BR20" s="42"/>
    </row>
    <row r="21" spans="2:70" ht="15" customHeight="1" x14ac:dyDescent="0.35">
      <c r="B21" s="529"/>
      <c r="C21" s="96"/>
      <c r="D21" s="97"/>
      <c r="E21" s="97"/>
      <c r="F21" s="97"/>
      <c r="G21" s="97"/>
      <c r="H21" s="97"/>
      <c r="I21" s="97"/>
      <c r="J21" s="97"/>
      <c r="K21" s="97"/>
      <c r="L21" s="97"/>
      <c r="M21" s="97"/>
      <c r="N21" s="99">
        <v>2</v>
      </c>
      <c r="O21" s="103"/>
      <c r="P21" s="97"/>
      <c r="Q21" s="97"/>
      <c r="R21" s="97"/>
      <c r="S21" s="97"/>
      <c r="T21" s="97"/>
      <c r="U21" s="97"/>
      <c r="V21" s="97"/>
      <c r="W21" s="97"/>
      <c r="X21" s="97"/>
      <c r="Y21" s="98"/>
      <c r="Z21" s="526"/>
      <c r="AB21" s="563"/>
      <c r="AC21" s="563"/>
      <c r="AD21" s="563"/>
      <c r="AE21" s="563"/>
      <c r="AF21" s="563"/>
      <c r="AG21" s="563"/>
      <c r="AH21" s="563"/>
      <c r="AI21" s="563"/>
      <c r="AJ21" s="563"/>
      <c r="AK21" s="563"/>
      <c r="AL21" s="563"/>
      <c r="AM21" s="563"/>
      <c r="AN21" s="563"/>
      <c r="AO21" s="563"/>
      <c r="AP21" s="563"/>
      <c r="AQ21" s="563"/>
      <c r="AR21" s="563"/>
      <c r="AS21" s="563"/>
      <c r="AT21" s="563"/>
      <c r="AU21" s="564"/>
      <c r="AV21" s="564"/>
      <c r="AW21" s="564"/>
      <c r="AX21" s="564"/>
      <c r="AY21" s="564"/>
      <c r="AZ21" s="564"/>
      <c r="BA21" s="564"/>
      <c r="BB21" s="564"/>
      <c r="BC21" s="564"/>
      <c r="BD21" s="564"/>
      <c r="BE21" s="564"/>
      <c r="BF21" s="564"/>
      <c r="BG21" s="564"/>
      <c r="BH21" s="564"/>
      <c r="BI21" s="564"/>
      <c r="BJ21" s="564"/>
      <c r="BK21" s="564"/>
      <c r="BL21" s="564"/>
      <c r="BM21" s="564"/>
      <c r="BO21" s="42"/>
      <c r="BP21" s="42"/>
      <c r="BQ21" s="42"/>
      <c r="BR21" s="42"/>
    </row>
    <row r="22" spans="2:70" ht="15" customHeight="1" thickBot="1" x14ac:dyDescent="0.4">
      <c r="B22" s="529"/>
      <c r="C22" s="523" t="s">
        <v>79</v>
      </c>
      <c r="D22" s="524"/>
      <c r="E22" s="104"/>
      <c r="F22" s="104"/>
      <c r="G22" s="104"/>
      <c r="H22" s="105"/>
      <c r="I22" s="106"/>
      <c r="J22" s="104"/>
      <c r="K22" s="104"/>
      <c r="L22" s="104"/>
      <c r="M22" s="104"/>
      <c r="N22" s="107">
        <v>0</v>
      </c>
      <c r="O22" s="108"/>
      <c r="P22" s="104"/>
      <c r="Q22" s="104"/>
      <c r="R22" s="106"/>
      <c r="S22" s="104"/>
      <c r="T22" s="104"/>
      <c r="U22" s="106"/>
      <c r="V22" s="106"/>
      <c r="W22" s="106"/>
      <c r="X22" s="106"/>
      <c r="Y22" s="98"/>
      <c r="Z22" s="526"/>
      <c r="AB22" s="563"/>
      <c r="AC22" s="563"/>
      <c r="AD22" s="563"/>
      <c r="AE22" s="563"/>
      <c r="AF22" s="563"/>
      <c r="AG22" s="563"/>
      <c r="AH22" s="563"/>
      <c r="AI22" s="563"/>
      <c r="AJ22" s="563"/>
      <c r="AK22" s="563"/>
      <c r="AL22" s="563"/>
      <c r="AM22" s="563"/>
      <c r="AN22" s="563"/>
      <c r="AO22" s="563"/>
      <c r="AP22" s="563"/>
      <c r="AQ22" s="563"/>
      <c r="AR22" s="563"/>
      <c r="AS22" s="563"/>
      <c r="AT22" s="563"/>
      <c r="AU22" s="564"/>
      <c r="AV22" s="564"/>
      <c r="AW22" s="564"/>
      <c r="AX22" s="564"/>
      <c r="AY22" s="564"/>
      <c r="AZ22" s="564"/>
      <c r="BA22" s="564"/>
      <c r="BB22" s="564"/>
      <c r="BC22" s="564"/>
      <c r="BD22" s="564"/>
      <c r="BE22" s="564"/>
      <c r="BF22" s="564"/>
      <c r="BG22" s="564"/>
      <c r="BH22" s="564"/>
      <c r="BI22" s="564"/>
      <c r="BJ22" s="564"/>
      <c r="BK22" s="564"/>
      <c r="BL22" s="564"/>
      <c r="BM22" s="564"/>
      <c r="BN22" s="45"/>
      <c r="BO22" s="42"/>
      <c r="BP22" s="42"/>
      <c r="BQ22" s="42"/>
      <c r="BR22" s="42"/>
    </row>
    <row r="23" spans="2:70" ht="15" customHeight="1" thickTop="1" x14ac:dyDescent="0.35">
      <c r="B23" s="529"/>
      <c r="C23" s="523"/>
      <c r="D23" s="525"/>
      <c r="E23" s="109"/>
      <c r="F23" s="109">
        <v>-18</v>
      </c>
      <c r="G23" s="109">
        <v>-14</v>
      </c>
      <c r="H23" s="110">
        <v>-12</v>
      </c>
      <c r="I23" s="109">
        <v>-10</v>
      </c>
      <c r="J23" s="109">
        <v>-8</v>
      </c>
      <c r="K23" s="109">
        <v>-6</v>
      </c>
      <c r="L23" s="109">
        <v>-4</v>
      </c>
      <c r="M23" s="109">
        <v>-2</v>
      </c>
      <c r="N23" s="111">
        <v>0</v>
      </c>
      <c r="O23" s="112">
        <v>0</v>
      </c>
      <c r="P23" s="113">
        <v>2</v>
      </c>
      <c r="Q23" s="113">
        <v>4</v>
      </c>
      <c r="R23" s="113">
        <v>6</v>
      </c>
      <c r="S23" s="114">
        <v>8</v>
      </c>
      <c r="T23" s="113">
        <v>10</v>
      </c>
      <c r="U23" s="113">
        <v>12</v>
      </c>
      <c r="V23" s="113">
        <v>14</v>
      </c>
      <c r="W23" s="113">
        <v>16</v>
      </c>
      <c r="X23" s="113"/>
      <c r="Y23" s="98"/>
      <c r="Z23" s="526"/>
      <c r="AB23" s="563"/>
      <c r="AC23" s="563"/>
      <c r="AD23" s="563"/>
      <c r="AE23" s="563"/>
      <c r="AF23" s="563"/>
      <c r="AG23" s="563"/>
      <c r="AH23" s="563"/>
      <c r="AI23" s="563"/>
      <c r="AJ23" s="563"/>
      <c r="AK23" s="563"/>
      <c r="AL23" s="563"/>
      <c r="AM23" s="563"/>
      <c r="AN23" s="563"/>
      <c r="AO23" s="563"/>
      <c r="AP23" s="563"/>
      <c r="AQ23" s="563"/>
      <c r="AR23" s="563"/>
      <c r="AS23" s="563"/>
      <c r="AT23" s="563"/>
      <c r="AU23" s="564"/>
      <c r="AV23" s="564"/>
      <c r="AW23" s="564"/>
      <c r="AX23" s="564"/>
      <c r="AY23" s="564"/>
      <c r="AZ23" s="564"/>
      <c r="BA23" s="564"/>
      <c r="BB23" s="564"/>
      <c r="BC23" s="564"/>
      <c r="BD23" s="564"/>
      <c r="BE23" s="564"/>
      <c r="BF23" s="564"/>
      <c r="BG23" s="564"/>
      <c r="BH23" s="564"/>
      <c r="BI23" s="564"/>
      <c r="BJ23" s="564"/>
      <c r="BK23" s="564"/>
      <c r="BL23" s="564"/>
      <c r="BM23" s="564"/>
      <c r="BO23" s="42"/>
      <c r="BP23" s="42"/>
      <c r="BQ23" s="42"/>
      <c r="BR23" s="42"/>
    </row>
    <row r="24" spans="2:70" ht="15" customHeight="1" x14ac:dyDescent="0.35">
      <c r="B24" s="529"/>
      <c r="C24" s="96"/>
      <c r="D24" s="97"/>
      <c r="E24" s="97"/>
      <c r="F24" s="97"/>
      <c r="G24" s="97"/>
      <c r="H24" s="97"/>
      <c r="I24" s="97"/>
      <c r="J24" s="97"/>
      <c r="K24" s="97"/>
      <c r="L24" s="97"/>
      <c r="M24" s="97"/>
      <c r="N24" s="115">
        <v>-2</v>
      </c>
      <c r="O24" s="101"/>
      <c r="P24" s="97"/>
      <c r="Q24" s="97"/>
      <c r="R24" s="97"/>
      <c r="S24" s="97"/>
      <c r="T24" s="97"/>
      <c r="U24" s="97"/>
      <c r="V24" s="97"/>
      <c r="W24" s="97"/>
      <c r="X24" s="97"/>
      <c r="Y24" s="98"/>
      <c r="Z24" s="526"/>
      <c r="AB24" s="563"/>
      <c r="AC24" s="563"/>
      <c r="AD24" s="563"/>
      <c r="AE24" s="563"/>
      <c r="AF24" s="563"/>
      <c r="AG24" s="563"/>
      <c r="AH24" s="563"/>
      <c r="AI24" s="563"/>
      <c r="AJ24" s="563"/>
      <c r="AK24" s="563"/>
      <c r="AL24" s="563"/>
      <c r="AM24" s="563"/>
      <c r="AN24" s="563"/>
      <c r="AO24" s="563"/>
      <c r="AP24" s="563"/>
      <c r="AQ24" s="563"/>
      <c r="AR24" s="563"/>
      <c r="AS24" s="563"/>
      <c r="AT24" s="563"/>
      <c r="AU24" s="564"/>
      <c r="AV24" s="564"/>
      <c r="AW24" s="564"/>
      <c r="AX24" s="564"/>
      <c r="AY24" s="564"/>
      <c r="AZ24" s="564"/>
      <c r="BA24" s="564"/>
      <c r="BB24" s="564"/>
      <c r="BC24" s="564"/>
      <c r="BD24" s="564"/>
      <c r="BE24" s="564"/>
      <c r="BF24" s="564"/>
      <c r="BG24" s="564"/>
      <c r="BH24" s="564"/>
      <c r="BI24" s="564"/>
      <c r="BJ24" s="564"/>
      <c r="BK24" s="564"/>
      <c r="BL24" s="564"/>
      <c r="BM24" s="564"/>
      <c r="BN24" s="46"/>
      <c r="BO24" s="46"/>
      <c r="BP24" s="46"/>
      <c r="BQ24" s="46"/>
      <c r="BR24" s="46"/>
    </row>
    <row r="25" spans="2:70" ht="15" customHeight="1" x14ac:dyDescent="0.35">
      <c r="B25" s="529"/>
      <c r="C25" s="96"/>
      <c r="D25" s="97"/>
      <c r="E25" s="97"/>
      <c r="F25" s="97"/>
      <c r="G25" s="97"/>
      <c r="H25" s="97"/>
      <c r="I25" s="97"/>
      <c r="J25" s="97"/>
      <c r="K25" s="97"/>
      <c r="L25" s="97"/>
      <c r="M25" s="97"/>
      <c r="N25" s="115">
        <v>-4</v>
      </c>
      <c r="O25" s="116"/>
      <c r="P25" s="97"/>
      <c r="Q25" s="97"/>
      <c r="R25" s="97"/>
      <c r="S25" s="97"/>
      <c r="T25" s="97"/>
      <c r="U25" s="97"/>
      <c r="V25" s="97"/>
      <c r="W25" s="97"/>
      <c r="X25" s="97"/>
      <c r="Y25" s="98"/>
      <c r="Z25" s="526"/>
      <c r="AB25" s="563"/>
      <c r="AC25" s="563"/>
      <c r="AD25" s="563"/>
      <c r="AE25" s="563"/>
      <c r="AF25" s="563"/>
      <c r="AG25" s="563"/>
      <c r="AH25" s="563"/>
      <c r="AI25" s="563"/>
      <c r="AJ25" s="563"/>
      <c r="AK25" s="563"/>
      <c r="AL25" s="563"/>
      <c r="AM25" s="563"/>
      <c r="AN25" s="563"/>
      <c r="AO25" s="563"/>
      <c r="AP25" s="563"/>
      <c r="AQ25" s="563"/>
      <c r="AR25" s="563"/>
      <c r="AS25" s="563"/>
      <c r="AT25" s="563"/>
      <c r="AU25" s="564"/>
      <c r="AV25" s="564"/>
      <c r="AW25" s="564"/>
      <c r="AX25" s="564"/>
      <c r="AY25" s="564"/>
      <c r="AZ25" s="564"/>
      <c r="BA25" s="564"/>
      <c r="BB25" s="564"/>
      <c r="BC25" s="564"/>
      <c r="BD25" s="564"/>
      <c r="BE25" s="564"/>
      <c r="BF25" s="564"/>
      <c r="BG25" s="564"/>
      <c r="BH25" s="564"/>
      <c r="BI25" s="564"/>
      <c r="BJ25" s="564"/>
      <c r="BK25" s="564"/>
      <c r="BL25" s="564"/>
      <c r="BM25" s="564"/>
      <c r="BN25" s="46"/>
      <c r="BO25" s="46"/>
      <c r="BP25" s="46"/>
      <c r="BQ25" s="46"/>
      <c r="BR25" s="46"/>
    </row>
    <row r="26" spans="2:70" ht="15" customHeight="1" x14ac:dyDescent="0.35">
      <c r="B26" s="529"/>
      <c r="C26" s="96"/>
      <c r="D26" s="97"/>
      <c r="E26" s="97"/>
      <c r="F26" s="97"/>
      <c r="G26" s="97"/>
      <c r="H26" s="97"/>
      <c r="I26" s="97"/>
      <c r="J26" s="97"/>
      <c r="K26" s="97"/>
      <c r="L26" s="97"/>
      <c r="M26" s="97"/>
      <c r="N26" s="115">
        <v>-6</v>
      </c>
      <c r="O26" s="116"/>
      <c r="P26" s="97"/>
      <c r="Q26" s="97"/>
      <c r="R26" s="97"/>
      <c r="S26" s="97"/>
      <c r="T26" s="97"/>
      <c r="U26" s="97"/>
      <c r="V26" s="97"/>
      <c r="W26" s="97"/>
      <c r="X26" s="97"/>
      <c r="Y26" s="98"/>
      <c r="Z26" s="526"/>
      <c r="AB26" s="563"/>
      <c r="AC26" s="563"/>
      <c r="AD26" s="563"/>
      <c r="AE26" s="563"/>
      <c r="AF26" s="563"/>
      <c r="AG26" s="563"/>
      <c r="AH26" s="563"/>
      <c r="AI26" s="563"/>
      <c r="AJ26" s="563"/>
      <c r="AK26" s="563"/>
      <c r="AL26" s="563"/>
      <c r="AM26" s="563"/>
      <c r="AN26" s="563"/>
      <c r="AO26" s="563"/>
      <c r="AP26" s="563"/>
      <c r="AQ26" s="563"/>
      <c r="AR26" s="563"/>
      <c r="AS26" s="563"/>
      <c r="AT26" s="563"/>
      <c r="AU26" s="564"/>
      <c r="AV26" s="564"/>
      <c r="AW26" s="564"/>
      <c r="AX26" s="564"/>
      <c r="AY26" s="564"/>
      <c r="AZ26" s="564"/>
      <c r="BA26" s="564"/>
      <c r="BB26" s="564"/>
      <c r="BC26" s="564"/>
      <c r="BD26" s="564"/>
      <c r="BE26" s="564"/>
      <c r="BF26" s="564"/>
      <c r="BG26" s="564"/>
      <c r="BH26" s="564"/>
      <c r="BI26" s="564"/>
      <c r="BJ26" s="564"/>
      <c r="BK26" s="564"/>
      <c r="BL26" s="564"/>
      <c r="BM26" s="564"/>
      <c r="BN26" s="47"/>
      <c r="BO26" s="46"/>
      <c r="BP26" s="46"/>
      <c r="BQ26" s="46"/>
      <c r="BR26" s="46"/>
    </row>
    <row r="27" spans="2:70" ht="15" customHeight="1" x14ac:dyDescent="0.35">
      <c r="B27" s="529"/>
      <c r="C27" s="96"/>
      <c r="D27" s="97"/>
      <c r="E27" s="97"/>
      <c r="F27" s="97"/>
      <c r="G27" s="97"/>
      <c r="H27" s="97"/>
      <c r="I27" s="97"/>
      <c r="J27" s="97"/>
      <c r="K27" s="97"/>
      <c r="L27" s="97"/>
      <c r="M27" s="97"/>
      <c r="N27" s="115">
        <v>-8</v>
      </c>
      <c r="O27" s="116"/>
      <c r="P27" s="97"/>
      <c r="Q27" s="97"/>
      <c r="R27" s="97"/>
      <c r="S27" s="97"/>
      <c r="T27" s="97"/>
      <c r="U27" s="97"/>
      <c r="V27" s="97"/>
      <c r="W27" s="97"/>
      <c r="X27" s="97"/>
      <c r="Y27" s="98"/>
      <c r="Z27" s="526"/>
      <c r="AB27" s="563"/>
      <c r="AC27" s="563"/>
      <c r="AD27" s="563"/>
      <c r="AE27" s="563"/>
      <c r="AF27" s="563"/>
      <c r="AG27" s="563"/>
      <c r="AH27" s="563"/>
      <c r="AI27" s="563"/>
      <c r="AJ27" s="563"/>
      <c r="AK27" s="563"/>
      <c r="AL27" s="563"/>
      <c r="AM27" s="563"/>
      <c r="AN27" s="563"/>
      <c r="AO27" s="563"/>
      <c r="AP27" s="563"/>
      <c r="AQ27" s="563"/>
      <c r="AR27" s="563"/>
      <c r="AS27" s="563"/>
      <c r="AT27" s="563"/>
      <c r="AU27" s="564"/>
      <c r="AV27" s="564"/>
      <c r="AW27" s="564"/>
      <c r="AX27" s="564"/>
      <c r="AY27" s="564"/>
      <c r="AZ27" s="564"/>
      <c r="BA27" s="564"/>
      <c r="BB27" s="564"/>
      <c r="BC27" s="564"/>
      <c r="BD27" s="564"/>
      <c r="BE27" s="564"/>
      <c r="BF27" s="564"/>
      <c r="BG27" s="564"/>
      <c r="BH27" s="564"/>
      <c r="BI27" s="564"/>
      <c r="BJ27" s="564"/>
      <c r="BK27" s="564"/>
      <c r="BL27" s="564"/>
      <c r="BM27" s="564"/>
      <c r="BN27" s="46"/>
      <c r="BO27" s="46"/>
      <c r="BP27" s="46"/>
      <c r="BQ27" s="46"/>
      <c r="BR27" s="46"/>
    </row>
    <row r="28" spans="2:70" ht="32.25" customHeight="1" x14ac:dyDescent="0.35">
      <c r="B28" s="529"/>
      <c r="C28" s="96"/>
      <c r="D28" s="97"/>
      <c r="E28" s="97"/>
      <c r="F28" s="97"/>
      <c r="G28" s="97"/>
      <c r="H28" s="97"/>
      <c r="I28" s="97"/>
      <c r="J28" s="97"/>
      <c r="K28" s="97"/>
      <c r="L28" s="97"/>
      <c r="M28" s="97"/>
      <c r="N28" s="115">
        <v>-10</v>
      </c>
      <c r="O28" s="116"/>
      <c r="P28" s="97"/>
      <c r="Q28" s="97"/>
      <c r="R28" s="97"/>
      <c r="S28" s="97"/>
      <c r="T28" s="97"/>
      <c r="U28" s="97"/>
      <c r="V28" s="97"/>
      <c r="W28" s="97"/>
      <c r="X28" s="97"/>
      <c r="Y28" s="98"/>
      <c r="Z28" s="526"/>
      <c r="AB28" s="563"/>
      <c r="AC28" s="563"/>
      <c r="AD28" s="563"/>
      <c r="AE28" s="563"/>
      <c r="AF28" s="563"/>
      <c r="AG28" s="563"/>
      <c r="AH28" s="563"/>
      <c r="AI28" s="563"/>
      <c r="AJ28" s="563"/>
      <c r="AK28" s="563"/>
      <c r="AL28" s="563"/>
      <c r="AM28" s="563"/>
      <c r="AN28" s="563"/>
      <c r="AO28" s="563"/>
      <c r="AP28" s="563"/>
      <c r="AQ28" s="563"/>
      <c r="AR28" s="563"/>
      <c r="AS28" s="563"/>
      <c r="AT28" s="563"/>
      <c r="AU28" s="564"/>
      <c r="AV28" s="564"/>
      <c r="AW28" s="564"/>
      <c r="AX28" s="564"/>
      <c r="AY28" s="564"/>
      <c r="AZ28" s="564"/>
      <c r="BA28" s="564"/>
      <c r="BB28" s="564"/>
      <c r="BC28" s="564"/>
      <c r="BD28" s="564"/>
      <c r="BE28" s="564"/>
      <c r="BF28" s="564"/>
      <c r="BG28" s="564"/>
      <c r="BH28" s="564"/>
      <c r="BI28" s="564"/>
      <c r="BJ28" s="564"/>
      <c r="BK28" s="564"/>
      <c r="BL28" s="564"/>
      <c r="BM28" s="564"/>
      <c r="BN28" s="46"/>
      <c r="BO28" s="46"/>
      <c r="BP28" s="46"/>
      <c r="BQ28" s="46"/>
      <c r="BR28" s="46"/>
    </row>
    <row r="29" spans="2:70" ht="57.75" customHeight="1" x14ac:dyDescent="0.35">
      <c r="B29" s="529"/>
      <c r="C29" s="96"/>
      <c r="D29" s="97"/>
      <c r="E29" s="97"/>
      <c r="F29" s="97"/>
      <c r="G29" s="97"/>
      <c r="H29" s="97"/>
      <c r="I29" s="97"/>
      <c r="J29" s="97"/>
      <c r="K29" s="97"/>
      <c r="L29" s="97"/>
      <c r="M29" s="97"/>
      <c r="N29" s="115">
        <v>-12</v>
      </c>
      <c r="O29" s="116"/>
      <c r="P29" s="97"/>
      <c r="Q29" s="97"/>
      <c r="R29" s="97"/>
      <c r="S29" s="97"/>
      <c r="T29" s="97"/>
      <c r="U29" s="97"/>
      <c r="V29" s="97"/>
      <c r="W29" s="97"/>
      <c r="X29" s="97"/>
      <c r="Y29" s="98"/>
      <c r="Z29" s="526"/>
      <c r="AB29" s="563"/>
      <c r="AC29" s="563"/>
      <c r="AD29" s="563"/>
      <c r="AE29" s="563"/>
      <c r="AF29" s="563"/>
      <c r="AG29" s="563"/>
      <c r="AH29" s="563"/>
      <c r="AI29" s="563"/>
      <c r="AJ29" s="563"/>
      <c r="AK29" s="563"/>
      <c r="AL29" s="563"/>
      <c r="AM29" s="563"/>
      <c r="AN29" s="563"/>
      <c r="AO29" s="563"/>
      <c r="AP29" s="563"/>
      <c r="AQ29" s="563"/>
      <c r="AR29" s="563"/>
      <c r="AS29" s="563"/>
      <c r="AT29" s="563"/>
      <c r="AU29" s="564"/>
      <c r="AV29" s="564"/>
      <c r="AW29" s="564"/>
      <c r="AX29" s="564"/>
      <c r="AY29" s="564"/>
      <c r="AZ29" s="564"/>
      <c r="BA29" s="564"/>
      <c r="BB29" s="564"/>
      <c r="BC29" s="564"/>
      <c r="BD29" s="564"/>
      <c r="BE29" s="564"/>
      <c r="BF29" s="564"/>
      <c r="BG29" s="564"/>
      <c r="BH29" s="564"/>
      <c r="BI29" s="564"/>
      <c r="BJ29" s="564"/>
      <c r="BK29" s="564"/>
      <c r="BL29" s="564"/>
      <c r="BM29" s="564"/>
      <c r="BN29" s="46"/>
      <c r="BO29" s="46"/>
      <c r="BP29" s="46"/>
      <c r="BQ29" s="46"/>
      <c r="BR29" s="46"/>
    </row>
    <row r="30" spans="2:70" ht="15" hidden="1" customHeight="1" thickBot="1" x14ac:dyDescent="0.4">
      <c r="B30" s="529"/>
      <c r="C30" s="96"/>
      <c r="D30" s="97"/>
      <c r="E30" s="97"/>
      <c r="F30" s="97"/>
      <c r="G30" s="97"/>
      <c r="H30" s="97"/>
      <c r="I30" s="97"/>
      <c r="J30" s="97"/>
      <c r="K30" s="97"/>
      <c r="L30" s="97"/>
      <c r="M30" s="97"/>
      <c r="N30" s="115">
        <v>-14</v>
      </c>
      <c r="O30" s="116"/>
      <c r="P30" s="97"/>
      <c r="Q30" s="97"/>
      <c r="R30" s="97"/>
      <c r="S30" s="97"/>
      <c r="T30" s="97"/>
      <c r="U30" s="97"/>
      <c r="V30" s="97"/>
      <c r="W30" s="97"/>
      <c r="X30" s="97"/>
      <c r="Y30" s="98"/>
      <c r="Z30" s="526"/>
      <c r="AB30" s="170"/>
      <c r="AC30" s="170"/>
      <c r="AD30" s="170"/>
      <c r="AE30" s="170"/>
      <c r="AF30" s="170"/>
      <c r="AG30" s="170"/>
      <c r="AH30" s="170"/>
      <c r="AI30" s="169"/>
      <c r="AJ30" s="169"/>
      <c r="AK30" s="169"/>
      <c r="AL30" s="169"/>
      <c r="AM30" s="169"/>
      <c r="AN30" s="169"/>
      <c r="AO30" s="169"/>
      <c r="AP30" s="169"/>
      <c r="AQ30" s="169"/>
      <c r="AR30" s="169"/>
      <c r="AS30" s="169"/>
      <c r="AT30" s="169"/>
      <c r="AU30" s="169"/>
      <c r="AV30" s="169"/>
      <c r="AW30" s="169"/>
      <c r="AX30" s="169"/>
      <c r="AY30" s="169"/>
      <c r="AZ30" s="169"/>
      <c r="BA30" s="169"/>
      <c r="BB30" s="169"/>
      <c r="BC30" s="169"/>
      <c r="BD30" s="169"/>
      <c r="BE30" s="169"/>
      <c r="BF30" s="169"/>
      <c r="BG30" s="169"/>
      <c r="BH30" s="169"/>
      <c r="BI30" s="169"/>
      <c r="BJ30" s="169"/>
      <c r="BK30" s="169"/>
      <c r="BL30" s="169"/>
      <c r="BM30" s="169"/>
      <c r="BN30" s="46"/>
      <c r="BO30" s="46"/>
      <c r="BP30" s="46"/>
      <c r="BQ30" s="46"/>
      <c r="BR30" s="46"/>
    </row>
    <row r="31" spans="2:70" ht="15" hidden="1" customHeight="1" thickBot="1" x14ac:dyDescent="0.4">
      <c r="B31" s="529"/>
      <c r="C31" s="96"/>
      <c r="D31" s="97"/>
      <c r="E31" s="97"/>
      <c r="F31" s="97"/>
      <c r="G31" s="97"/>
      <c r="H31" s="97"/>
      <c r="I31" s="97"/>
      <c r="J31" s="97"/>
      <c r="K31" s="97"/>
      <c r="L31" s="97"/>
      <c r="M31" s="97"/>
      <c r="N31" s="115">
        <v>-16</v>
      </c>
      <c r="O31" s="116"/>
      <c r="P31" s="97"/>
      <c r="Q31" s="97"/>
      <c r="R31" s="97"/>
      <c r="S31" s="97"/>
      <c r="T31" s="97"/>
      <c r="U31" s="97"/>
      <c r="V31" s="97"/>
      <c r="W31" s="97"/>
      <c r="X31" s="97"/>
      <c r="Y31" s="98"/>
      <c r="Z31" s="526"/>
      <c r="AB31" s="168" t="s">
        <v>81</v>
      </c>
      <c r="AC31" s="168"/>
      <c r="AD31" s="168"/>
      <c r="AE31" s="168"/>
      <c r="AF31" s="168"/>
      <c r="AG31" s="168"/>
      <c r="AH31" s="168"/>
      <c r="AI31" s="168"/>
      <c r="AJ31" s="168"/>
      <c r="AK31" s="168"/>
      <c r="AL31" s="168"/>
      <c r="AM31" s="168"/>
      <c r="AN31" s="168"/>
      <c r="AO31" s="168"/>
      <c r="AP31" s="168"/>
      <c r="AQ31" s="168"/>
      <c r="AR31" s="168"/>
      <c r="AS31" s="168"/>
      <c r="AT31" s="168"/>
      <c r="AU31" s="168"/>
      <c r="AV31" s="168"/>
      <c r="AW31" s="168"/>
      <c r="AX31" s="168"/>
      <c r="AY31" s="168"/>
      <c r="AZ31" s="168"/>
      <c r="BA31" s="168"/>
      <c r="BB31" s="168"/>
      <c r="BC31" s="168"/>
      <c r="BD31" s="168"/>
      <c r="BE31" s="168"/>
      <c r="BF31" s="168"/>
      <c r="BG31" s="168"/>
      <c r="BH31" s="168"/>
      <c r="BI31" s="168"/>
      <c r="BJ31" s="168"/>
      <c r="BK31" s="168"/>
      <c r="BL31" s="168"/>
      <c r="BM31" s="168"/>
      <c r="BN31" s="46"/>
      <c r="BO31" s="46"/>
      <c r="BP31" s="46"/>
      <c r="BQ31" s="46"/>
      <c r="BR31" s="46"/>
    </row>
    <row r="32" spans="2:70" ht="15" hidden="1" customHeight="1" thickBot="1" x14ac:dyDescent="0.4">
      <c r="B32" s="529"/>
      <c r="C32" s="96"/>
      <c r="D32" s="97"/>
      <c r="E32" s="97"/>
      <c r="F32" s="97"/>
      <c r="G32" s="97"/>
      <c r="H32" s="97"/>
      <c r="I32" s="97"/>
      <c r="J32" s="97"/>
      <c r="K32" s="97"/>
      <c r="L32" s="97"/>
      <c r="M32" s="97"/>
      <c r="N32" s="115"/>
      <c r="O32" s="116"/>
      <c r="P32" s="97"/>
      <c r="Q32" s="97"/>
      <c r="R32" s="97"/>
      <c r="S32" s="97"/>
      <c r="T32" s="97"/>
      <c r="U32" s="97"/>
      <c r="V32" s="97"/>
      <c r="W32" s="97"/>
      <c r="X32" s="97"/>
      <c r="Y32" s="98"/>
      <c r="Z32" s="526"/>
      <c r="AB32" s="167" t="s">
        <v>82</v>
      </c>
      <c r="AC32" s="167"/>
      <c r="AD32" s="167"/>
      <c r="AE32" s="167"/>
      <c r="AF32" s="167"/>
      <c r="AG32" s="167"/>
      <c r="AH32" s="167"/>
      <c r="AI32" s="167"/>
      <c r="AJ32" s="167"/>
      <c r="AK32" s="167"/>
      <c r="AL32" s="167"/>
      <c r="AM32" s="167"/>
      <c r="AN32" s="167"/>
      <c r="AO32" s="167"/>
      <c r="AP32" s="167"/>
      <c r="AQ32" s="167"/>
      <c r="AR32" s="167"/>
      <c r="AS32" s="167"/>
      <c r="AT32" s="167"/>
      <c r="AU32" s="167"/>
      <c r="AV32" s="167"/>
      <c r="AW32" s="167"/>
      <c r="AX32" s="167"/>
      <c r="AY32" s="167"/>
      <c r="AZ32" s="167"/>
      <c r="BA32" s="167"/>
      <c r="BB32" s="167"/>
      <c r="BC32" s="167"/>
      <c r="BD32" s="167"/>
      <c r="BE32" s="167"/>
      <c r="BF32" s="167"/>
      <c r="BG32" s="167"/>
      <c r="BH32" s="167"/>
      <c r="BI32" s="167"/>
      <c r="BJ32" s="167"/>
      <c r="BK32" s="167"/>
      <c r="BL32" s="167"/>
      <c r="BM32" s="167"/>
      <c r="BN32" s="46"/>
      <c r="BO32" s="46"/>
      <c r="BP32" s="46"/>
      <c r="BQ32" s="46"/>
      <c r="BR32" s="46"/>
    </row>
    <row r="33" spans="2:70" ht="33" customHeight="1" x14ac:dyDescent="0.35">
      <c r="B33" s="529"/>
      <c r="C33" s="96"/>
      <c r="D33" s="97"/>
      <c r="E33" s="543" t="s">
        <v>80</v>
      </c>
      <c r="F33" s="544"/>
      <c r="G33" s="544"/>
      <c r="H33" s="544"/>
      <c r="I33" s="544"/>
      <c r="J33" s="544"/>
      <c r="K33" s="545"/>
      <c r="L33" s="97"/>
      <c r="M33" s="97"/>
      <c r="N33" s="97"/>
      <c r="O33" s="97"/>
      <c r="P33" s="97"/>
      <c r="Q33" s="97"/>
      <c r="R33" s="549" t="s">
        <v>148</v>
      </c>
      <c r="S33" s="550"/>
      <c r="T33" s="550"/>
      <c r="U33" s="550"/>
      <c r="V33" s="550"/>
      <c r="W33" s="550"/>
      <c r="X33" s="551"/>
      <c r="Y33" s="98"/>
      <c r="Z33" s="526"/>
      <c r="AB33" s="555" t="s">
        <v>110</v>
      </c>
      <c r="AC33" s="556"/>
      <c r="AD33" s="556"/>
      <c r="AE33" s="556"/>
      <c r="AF33" s="556"/>
      <c r="AG33" s="556"/>
      <c r="AH33" s="556"/>
      <c r="AI33" s="556"/>
      <c r="AJ33" s="556"/>
      <c r="AK33" s="556"/>
      <c r="AL33" s="556"/>
      <c r="AM33" s="556"/>
      <c r="AN33" s="556"/>
      <c r="AO33" s="556"/>
      <c r="AP33" s="556"/>
      <c r="AQ33" s="556"/>
      <c r="AR33" s="556"/>
      <c r="AS33" s="556"/>
      <c r="AT33" s="557"/>
      <c r="AU33" s="555" t="s">
        <v>114</v>
      </c>
      <c r="AV33" s="556"/>
      <c r="AW33" s="556"/>
      <c r="AX33" s="556"/>
      <c r="AY33" s="556"/>
      <c r="AZ33" s="556"/>
      <c r="BA33" s="556"/>
      <c r="BB33" s="556"/>
      <c r="BC33" s="556"/>
      <c r="BD33" s="556"/>
      <c r="BE33" s="556"/>
      <c r="BF33" s="556"/>
      <c r="BG33" s="556"/>
      <c r="BH33" s="556"/>
      <c r="BI33" s="556"/>
      <c r="BJ33" s="556"/>
      <c r="BK33" s="556"/>
      <c r="BL33" s="556"/>
      <c r="BM33" s="557"/>
      <c r="BN33" s="46"/>
      <c r="BO33" s="46"/>
      <c r="BP33" s="46"/>
      <c r="BQ33" s="46"/>
      <c r="BR33" s="46"/>
    </row>
    <row r="34" spans="2:70" ht="33" customHeight="1" x14ac:dyDescent="0.35">
      <c r="B34" s="529"/>
      <c r="C34" s="96"/>
      <c r="D34" s="97"/>
      <c r="E34" s="546"/>
      <c r="F34" s="547"/>
      <c r="G34" s="547"/>
      <c r="H34" s="547"/>
      <c r="I34" s="547"/>
      <c r="J34" s="547"/>
      <c r="K34" s="548"/>
      <c r="L34" s="97"/>
      <c r="M34" s="97"/>
      <c r="N34" s="97"/>
      <c r="O34" s="97"/>
      <c r="P34" s="97"/>
      <c r="Q34" s="97"/>
      <c r="R34" s="552"/>
      <c r="S34" s="553"/>
      <c r="T34" s="553"/>
      <c r="U34" s="553"/>
      <c r="V34" s="553"/>
      <c r="W34" s="553"/>
      <c r="X34" s="554"/>
      <c r="Y34" s="98"/>
      <c r="Z34" s="526"/>
      <c r="AB34" s="558" t="s">
        <v>79</v>
      </c>
      <c r="AC34" s="558"/>
      <c r="AD34" s="558"/>
      <c r="AE34" s="558"/>
      <c r="AF34" s="558"/>
      <c r="AG34" s="558"/>
      <c r="AH34" s="558"/>
      <c r="AI34" s="558"/>
      <c r="AJ34" s="558"/>
      <c r="AK34" s="558"/>
      <c r="AL34" s="558"/>
      <c r="AM34" s="558"/>
      <c r="AN34" s="558"/>
      <c r="AO34" s="558"/>
      <c r="AP34" s="558"/>
      <c r="AQ34" s="558"/>
      <c r="AR34" s="558"/>
      <c r="AS34" s="558"/>
      <c r="AT34" s="558"/>
      <c r="AU34" s="559">
        <f>'2a. Análisis Foda'!N51</f>
        <v>0.90909090909090917</v>
      </c>
      <c r="AV34" s="559"/>
      <c r="AW34" s="559"/>
      <c r="AX34" s="559"/>
      <c r="AY34" s="559"/>
      <c r="AZ34" s="559"/>
      <c r="BA34" s="559"/>
      <c r="BB34" s="559"/>
      <c r="BC34" s="559"/>
      <c r="BD34" s="559"/>
      <c r="BE34" s="559"/>
      <c r="BF34" s="559"/>
      <c r="BG34" s="559"/>
      <c r="BH34" s="559"/>
      <c r="BI34" s="559"/>
      <c r="BJ34" s="559"/>
      <c r="BK34" s="559"/>
      <c r="BL34" s="559"/>
      <c r="BM34" s="559"/>
      <c r="BN34" s="92">
        <f>AU34*-1</f>
        <v>-0.90909090909090917</v>
      </c>
      <c r="BO34" s="92"/>
      <c r="BP34" s="92"/>
      <c r="BQ34" s="92"/>
      <c r="BR34" s="92"/>
    </row>
    <row r="35" spans="2:70" ht="33" customHeight="1" x14ac:dyDescent="0.35">
      <c r="B35" s="529"/>
      <c r="C35" s="117"/>
      <c r="D35" s="118"/>
      <c r="E35" s="118"/>
      <c r="F35" s="118"/>
      <c r="G35" s="118"/>
      <c r="H35" s="118"/>
      <c r="I35" s="118"/>
      <c r="J35" s="118"/>
      <c r="K35" s="118"/>
      <c r="L35" s="118"/>
      <c r="M35" s="118"/>
      <c r="N35" s="118"/>
      <c r="O35" s="118"/>
      <c r="P35" s="118"/>
      <c r="Q35" s="118"/>
      <c r="R35" s="118"/>
      <c r="S35" s="118"/>
      <c r="T35" s="118"/>
      <c r="U35" s="118"/>
      <c r="V35" s="118"/>
      <c r="W35" s="118"/>
      <c r="X35" s="118"/>
      <c r="Y35" s="119"/>
      <c r="Z35" s="526"/>
      <c r="AB35" s="560" t="s">
        <v>75</v>
      </c>
      <c r="AC35" s="560"/>
      <c r="AD35" s="560"/>
      <c r="AE35" s="560"/>
      <c r="AF35" s="560"/>
      <c r="AG35" s="560"/>
      <c r="AH35" s="560"/>
      <c r="AI35" s="560"/>
      <c r="AJ35" s="560"/>
      <c r="AK35" s="560"/>
      <c r="AL35" s="560"/>
      <c r="AM35" s="560"/>
      <c r="AN35" s="560"/>
      <c r="AO35" s="560"/>
      <c r="AP35" s="560"/>
      <c r="AQ35" s="560"/>
      <c r="AR35" s="560"/>
      <c r="AS35" s="560"/>
      <c r="AT35" s="560"/>
      <c r="AU35" s="561">
        <f>'2a. Análisis Foda'!N52</f>
        <v>1.7142857142857135</v>
      </c>
      <c r="AV35" s="561"/>
      <c r="AW35" s="561"/>
      <c r="AX35" s="561"/>
      <c r="AY35" s="561"/>
      <c r="AZ35" s="561"/>
      <c r="BA35" s="561"/>
      <c r="BB35" s="561"/>
      <c r="BC35" s="561"/>
      <c r="BD35" s="561"/>
      <c r="BE35" s="561"/>
      <c r="BF35" s="561"/>
      <c r="BG35" s="561"/>
      <c r="BH35" s="561"/>
      <c r="BI35" s="561"/>
      <c r="BJ35" s="561"/>
      <c r="BK35" s="561"/>
      <c r="BL35" s="561"/>
      <c r="BM35" s="561"/>
      <c r="BN35" s="92">
        <f>AU35*-1</f>
        <v>-1.7142857142857135</v>
      </c>
      <c r="BO35" s="92"/>
      <c r="BP35" s="92"/>
      <c r="BQ35" s="92"/>
      <c r="BR35" s="92"/>
    </row>
    <row r="36" spans="2:70" x14ac:dyDescent="0.35">
      <c r="B36" s="526"/>
      <c r="C36" s="526"/>
      <c r="D36" s="526"/>
      <c r="E36" s="526"/>
      <c r="F36" s="526"/>
      <c r="G36" s="526"/>
      <c r="H36" s="526"/>
      <c r="I36" s="526"/>
      <c r="J36" s="526"/>
      <c r="K36" s="526"/>
      <c r="L36" s="526"/>
      <c r="M36" s="526"/>
      <c r="N36" s="526"/>
      <c r="O36" s="526"/>
      <c r="P36" s="526"/>
      <c r="Q36" s="526"/>
      <c r="R36" s="526"/>
      <c r="S36" s="526"/>
      <c r="T36" s="526"/>
      <c r="U36" s="526"/>
      <c r="V36" s="526"/>
      <c r="W36" s="526"/>
      <c r="X36" s="526"/>
      <c r="Y36" s="526"/>
      <c r="Z36" s="526"/>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c r="BI36" s="42"/>
      <c r="BJ36" s="42"/>
      <c r="BK36" s="42"/>
      <c r="BL36" s="42"/>
      <c r="BM36" s="42"/>
      <c r="BO36" s="42"/>
      <c r="BP36" s="42"/>
      <c r="BQ36" s="42"/>
      <c r="BR36" s="42"/>
    </row>
    <row r="37" spans="2:70" x14ac:dyDescent="0.35">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c r="BI37" s="42"/>
      <c r="BJ37" s="42"/>
      <c r="BK37" s="42"/>
      <c r="BL37" s="42"/>
      <c r="BM37" s="42"/>
      <c r="BO37" s="42"/>
      <c r="BP37" s="42"/>
      <c r="BQ37" s="42"/>
      <c r="BR37" s="42"/>
    </row>
    <row r="38" spans="2:70" x14ac:dyDescent="0.35">
      <c r="B38" s="121"/>
      <c r="C38" s="122"/>
      <c r="D38" s="122"/>
      <c r="E38" s="122"/>
      <c r="F38" s="122"/>
      <c r="G38" s="122"/>
      <c r="H38" s="122"/>
      <c r="I38" s="122"/>
      <c r="J38" s="122"/>
      <c r="K38" s="122"/>
      <c r="L38" s="122"/>
      <c r="M38" s="122"/>
      <c r="N38" s="122"/>
      <c r="O38" s="122"/>
      <c r="P38" s="122"/>
      <c r="Q38" s="122"/>
      <c r="R38" s="122"/>
      <c r="S38" s="122"/>
      <c r="T38" s="122"/>
      <c r="U38" s="122"/>
      <c r="V38" s="122"/>
      <c r="W38" s="122"/>
      <c r="X38" s="122"/>
      <c r="Y38" s="122"/>
      <c r="Z38" s="122"/>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48"/>
      <c r="BG38" s="48"/>
      <c r="BH38" s="48"/>
      <c r="BI38" s="48"/>
      <c r="BJ38" s="48"/>
      <c r="BK38" s="48"/>
      <c r="BL38" s="48"/>
      <c r="BM38" s="48"/>
      <c r="BN38" s="48"/>
      <c r="BO38" s="48"/>
      <c r="BP38" s="48"/>
      <c r="BQ38" s="48"/>
      <c r="BR38" s="48"/>
    </row>
  </sheetData>
  <dataConsolidate/>
  <mergeCells count="31">
    <mergeCell ref="AU34:BM34"/>
    <mergeCell ref="AB35:AT35"/>
    <mergeCell ref="AU35:BM35"/>
    <mergeCell ref="BO11:BR13"/>
    <mergeCell ref="AB12:AT12"/>
    <mergeCell ref="AU12:BM12"/>
    <mergeCell ref="AB13:AT29"/>
    <mergeCell ref="AU13:BM29"/>
    <mergeCell ref="C22:D23"/>
    <mergeCell ref="B9:Z9"/>
    <mergeCell ref="AC9:AT9"/>
    <mergeCell ref="AU9:BM9"/>
    <mergeCell ref="B10:B35"/>
    <mergeCell ref="Z10:Z36"/>
    <mergeCell ref="AB10:BM11"/>
    <mergeCell ref="E11:K12"/>
    <mergeCell ref="N11:O12"/>
    <mergeCell ref="R11:X12"/>
    <mergeCell ref="E33:K34"/>
    <mergeCell ref="B36:Y36"/>
    <mergeCell ref="R33:X34"/>
    <mergeCell ref="AB33:AT33"/>
    <mergeCell ref="AU33:BM33"/>
    <mergeCell ref="AB34:AT34"/>
    <mergeCell ref="A1:I6"/>
    <mergeCell ref="J1:BK2"/>
    <mergeCell ref="BL1:BQ2"/>
    <mergeCell ref="J3:BK4"/>
    <mergeCell ref="BL3:BQ4"/>
    <mergeCell ref="J5:BK6"/>
    <mergeCell ref="BL5:BQ6"/>
  </mergeCells>
  <conditionalFormatting sqref="AU9:BM9">
    <cfRule type="containsText" dxfId="73" priority="1" operator="containsText" text="Perfil Defensivo">
      <formula>NOT(ISERROR(SEARCH("Perfil Defensivo",AU9)))</formula>
    </cfRule>
    <cfRule type="containsText" dxfId="72" priority="2" operator="containsText" text="Perfil Conservador">
      <formula>NOT(ISERROR(SEARCH("Perfil Conservador",AU9)))</formula>
    </cfRule>
    <cfRule type="containsText" dxfId="71" priority="3" operator="containsText" text="Perfil Competitivo">
      <formula>NOT(ISERROR(SEARCH("Perfil Competitivo",AU9)))</formula>
    </cfRule>
    <cfRule type="containsText" dxfId="70" priority="4" operator="containsText" text="Perfil Agresivo">
      <formula>NOT(ISERROR(SEARCH("Perfil Agresivo",AU9)))</formula>
    </cfRule>
  </conditionalFormatting>
  <printOptions horizontalCentered="1"/>
  <pageMargins left="0.70866141732283472" right="0.70866141732283472" top="0.43307086614173229" bottom="0.74803149606299213" header="0.31496062992125984" footer="0.31496062992125984"/>
  <pageSetup scale="42" fitToHeight="0" orientation="landscape" r:id="rId1"/>
  <headerFooter>
    <oddFooter>&amp;R&amp;"Arial,Normal"&amp;12Página &amp;P de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H25"/>
  <sheetViews>
    <sheetView showGridLines="0" topLeftCell="A10" zoomScale="55" zoomScaleNormal="55" zoomScaleSheetLayoutView="50" workbookViewId="0">
      <selection activeCell="B19" sqref="B19:C19"/>
    </sheetView>
  </sheetViews>
  <sheetFormatPr baseColWidth="10" defaultColWidth="11.3984375" defaultRowHeight="13.5" x14ac:dyDescent="0.35"/>
  <cols>
    <col min="1" max="1" width="25" style="50" customWidth="1"/>
    <col min="2" max="2" width="36.3984375" style="161" customWidth="1"/>
    <col min="3" max="3" width="15.1328125" style="161" customWidth="1"/>
    <col min="4" max="4" width="101.59765625" style="50" customWidth="1"/>
    <col min="5" max="5" width="25.1328125" style="163" customWidth="1"/>
    <col min="6" max="6" width="54.265625" style="162" customWidth="1"/>
    <col min="7" max="7" width="103.73046875" style="162" customWidth="1"/>
    <col min="8" max="16384" width="11.3984375" style="50"/>
  </cols>
  <sheetData>
    <row r="1" spans="2:8" s="129" customFormat="1" ht="30" customHeight="1" thickBot="1" x14ac:dyDescent="0.5">
      <c r="B1" s="570"/>
      <c r="C1" s="571"/>
      <c r="D1" s="578" t="s">
        <v>298</v>
      </c>
      <c r="E1" s="579"/>
      <c r="F1" s="580"/>
      <c r="G1" s="576" t="s">
        <v>181</v>
      </c>
      <c r="H1" s="164"/>
    </row>
    <row r="2" spans="2:8" s="129" customFormat="1" ht="18" customHeight="1" thickBot="1" x14ac:dyDescent="0.5">
      <c r="B2" s="572"/>
      <c r="C2" s="573"/>
      <c r="D2" s="578"/>
      <c r="E2" s="579"/>
      <c r="F2" s="580"/>
      <c r="G2" s="577"/>
      <c r="H2" s="164"/>
    </row>
    <row r="3" spans="2:8" s="129" customFormat="1" ht="30" customHeight="1" thickBot="1" x14ac:dyDescent="0.5">
      <c r="B3" s="572"/>
      <c r="C3" s="573"/>
      <c r="D3" s="581" t="s">
        <v>182</v>
      </c>
      <c r="E3" s="582"/>
      <c r="F3" s="583"/>
      <c r="G3" s="566" t="s">
        <v>373</v>
      </c>
      <c r="H3" s="165"/>
    </row>
    <row r="4" spans="2:8" s="129" customFormat="1" ht="30" customHeight="1" thickBot="1" x14ac:dyDescent="0.5">
      <c r="B4" s="572"/>
      <c r="C4" s="573"/>
      <c r="D4" s="581"/>
      <c r="E4" s="582"/>
      <c r="F4" s="583"/>
      <c r="G4" s="567"/>
      <c r="H4" s="165"/>
    </row>
    <row r="5" spans="2:8" s="36" customFormat="1" ht="30" customHeight="1" thickBot="1" x14ac:dyDescent="0.4">
      <c r="B5" s="572"/>
      <c r="C5" s="573"/>
      <c r="D5" s="584" t="s">
        <v>138</v>
      </c>
      <c r="E5" s="585"/>
      <c r="F5" s="586"/>
      <c r="G5" s="568">
        <v>43854</v>
      </c>
      <c r="H5" s="166"/>
    </row>
    <row r="6" spans="2:8" s="36" customFormat="1" ht="10.5" customHeight="1" thickBot="1" x14ac:dyDescent="0.4">
      <c r="B6" s="574"/>
      <c r="C6" s="575"/>
      <c r="D6" s="584"/>
      <c r="E6" s="585"/>
      <c r="F6" s="586"/>
      <c r="G6" s="569"/>
      <c r="H6" s="166"/>
    </row>
    <row r="9" spans="2:8" ht="25.5" customHeight="1" x14ac:dyDescent="0.35">
      <c r="B9" s="565" t="s">
        <v>220</v>
      </c>
      <c r="C9" s="565" t="s">
        <v>227</v>
      </c>
      <c r="D9" s="292" t="s">
        <v>221</v>
      </c>
      <c r="E9" s="565" t="s">
        <v>223</v>
      </c>
      <c r="F9" s="565" t="s">
        <v>224</v>
      </c>
      <c r="G9" s="292" t="s">
        <v>225</v>
      </c>
    </row>
    <row r="10" spans="2:8" ht="55.5" customHeight="1" x14ac:dyDescent="0.35">
      <c r="B10" s="565"/>
      <c r="C10" s="565"/>
      <c r="D10" s="293" t="s">
        <v>222</v>
      </c>
      <c r="E10" s="565"/>
      <c r="F10" s="565"/>
      <c r="G10" s="293" t="s">
        <v>226</v>
      </c>
    </row>
    <row r="11" spans="2:8" ht="149.25" customHeight="1" x14ac:dyDescent="0.35">
      <c r="B11" s="294" t="s">
        <v>300</v>
      </c>
      <c r="C11" s="295" t="s">
        <v>228</v>
      </c>
      <c r="D11" s="296" t="s">
        <v>267</v>
      </c>
      <c r="E11" s="296" t="s">
        <v>229</v>
      </c>
      <c r="F11" s="296" t="s">
        <v>235</v>
      </c>
      <c r="G11" s="296" t="s">
        <v>230</v>
      </c>
    </row>
    <row r="12" spans="2:8" ht="259.5" customHeight="1" x14ac:dyDescent="0.35">
      <c r="B12" s="294" t="s">
        <v>233</v>
      </c>
      <c r="C12" s="295" t="s">
        <v>228</v>
      </c>
      <c r="D12" s="296" t="s">
        <v>268</v>
      </c>
      <c r="E12" s="296" t="s">
        <v>231</v>
      </c>
      <c r="F12" s="296" t="s">
        <v>269</v>
      </c>
      <c r="G12" s="296" t="s">
        <v>232</v>
      </c>
    </row>
    <row r="13" spans="2:8" ht="225.75" customHeight="1" x14ac:dyDescent="0.35">
      <c r="B13" s="294" t="s">
        <v>234</v>
      </c>
      <c r="C13" s="295" t="s">
        <v>228</v>
      </c>
      <c r="D13" s="296" t="s">
        <v>270</v>
      </c>
      <c r="E13" s="296" t="s">
        <v>238</v>
      </c>
      <c r="F13" s="296" t="s">
        <v>271</v>
      </c>
      <c r="G13" s="296" t="s">
        <v>287</v>
      </c>
    </row>
    <row r="14" spans="2:8" ht="133.5" customHeight="1" x14ac:dyDescent="0.35">
      <c r="B14" s="294" t="s">
        <v>335</v>
      </c>
      <c r="C14" s="295" t="s">
        <v>228</v>
      </c>
      <c r="D14" s="296" t="s">
        <v>272</v>
      </c>
      <c r="E14" s="296" t="s">
        <v>236</v>
      </c>
      <c r="F14" s="296" t="s">
        <v>237</v>
      </c>
      <c r="G14" s="296" t="s">
        <v>243</v>
      </c>
    </row>
    <row r="15" spans="2:8" ht="178.5" customHeight="1" x14ac:dyDescent="0.35">
      <c r="B15" s="294" t="s">
        <v>239</v>
      </c>
      <c r="C15" s="295" t="s">
        <v>228</v>
      </c>
      <c r="D15" s="272" t="s">
        <v>240</v>
      </c>
      <c r="E15" s="296" t="s">
        <v>241</v>
      </c>
      <c r="F15" s="296" t="s">
        <v>288</v>
      </c>
      <c r="G15" s="272" t="s">
        <v>242</v>
      </c>
    </row>
    <row r="16" spans="2:8" ht="162.94999999999999" customHeight="1" x14ac:dyDescent="0.35">
      <c r="B16" s="297" t="s">
        <v>246</v>
      </c>
      <c r="C16" s="295" t="s">
        <v>228</v>
      </c>
      <c r="D16" s="272" t="s">
        <v>244</v>
      </c>
      <c r="E16" s="298" t="s">
        <v>231</v>
      </c>
      <c r="F16" s="296" t="s">
        <v>245</v>
      </c>
      <c r="G16" s="296" t="s">
        <v>273</v>
      </c>
    </row>
    <row r="17" spans="2:7" ht="162.94999999999999" customHeight="1" x14ac:dyDescent="0.35">
      <c r="B17" s="295" t="s">
        <v>201</v>
      </c>
      <c r="C17" s="295" t="s">
        <v>228</v>
      </c>
      <c r="D17" s="296" t="s">
        <v>247</v>
      </c>
      <c r="E17" s="298" t="s">
        <v>274</v>
      </c>
      <c r="F17" s="296" t="s">
        <v>248</v>
      </c>
      <c r="G17" s="296" t="s">
        <v>249</v>
      </c>
    </row>
    <row r="18" spans="2:7" ht="162.94999999999999" customHeight="1" x14ac:dyDescent="0.35">
      <c r="B18" s="295" t="s">
        <v>264</v>
      </c>
      <c r="C18" s="295" t="s">
        <v>251</v>
      </c>
      <c r="D18" s="296" t="s">
        <v>265</v>
      </c>
      <c r="E18" s="298" t="s">
        <v>266</v>
      </c>
      <c r="F18" s="296" t="s">
        <v>263</v>
      </c>
      <c r="G18" s="296" t="s">
        <v>275</v>
      </c>
    </row>
    <row r="19" spans="2:7" ht="113.25" customHeight="1" x14ac:dyDescent="0.35">
      <c r="B19" s="294" t="s">
        <v>341</v>
      </c>
      <c r="C19" s="295" t="s">
        <v>251</v>
      </c>
      <c r="D19" s="296" t="s">
        <v>276</v>
      </c>
      <c r="E19" s="298" t="s">
        <v>274</v>
      </c>
      <c r="F19" s="296" t="s">
        <v>263</v>
      </c>
      <c r="G19" s="296" t="s">
        <v>262</v>
      </c>
    </row>
    <row r="20" spans="2:7" ht="89.25" customHeight="1" x14ac:dyDescent="0.35">
      <c r="B20" s="295" t="s">
        <v>250</v>
      </c>
      <c r="C20" s="295" t="s">
        <v>251</v>
      </c>
      <c r="D20" s="296" t="s">
        <v>252</v>
      </c>
      <c r="E20" s="296" t="s">
        <v>253</v>
      </c>
      <c r="F20" s="298" t="s">
        <v>256</v>
      </c>
      <c r="G20" s="296" t="s">
        <v>254</v>
      </c>
    </row>
    <row r="21" spans="2:7" ht="189" customHeight="1" x14ac:dyDescent="0.35">
      <c r="B21" s="295" t="s">
        <v>255</v>
      </c>
      <c r="C21" s="295" t="s">
        <v>251</v>
      </c>
      <c r="D21" s="296" t="s">
        <v>289</v>
      </c>
      <c r="E21" s="298" t="s">
        <v>231</v>
      </c>
      <c r="F21" s="298" t="s">
        <v>257</v>
      </c>
      <c r="G21" s="299" t="s">
        <v>290</v>
      </c>
    </row>
    <row r="22" spans="2:7" ht="110.25" customHeight="1" x14ac:dyDescent="0.35">
      <c r="B22" s="300" t="s">
        <v>200</v>
      </c>
      <c r="C22" s="295" t="s">
        <v>251</v>
      </c>
      <c r="D22" s="296" t="s">
        <v>277</v>
      </c>
      <c r="E22" s="298" t="s">
        <v>231</v>
      </c>
      <c r="F22" s="298" t="s">
        <v>258</v>
      </c>
      <c r="G22" s="298" t="s">
        <v>259</v>
      </c>
    </row>
    <row r="23" spans="2:7" ht="105" customHeight="1" x14ac:dyDescent="0.35">
      <c r="B23" s="301" t="s">
        <v>199</v>
      </c>
      <c r="C23" s="295" t="s">
        <v>251</v>
      </c>
      <c r="D23" s="302" t="s">
        <v>278</v>
      </c>
      <c r="E23" s="298" t="s">
        <v>231</v>
      </c>
      <c r="F23" s="296" t="s">
        <v>260</v>
      </c>
      <c r="G23" s="296" t="s">
        <v>261</v>
      </c>
    </row>
    <row r="24" spans="2:7" ht="126" customHeight="1" x14ac:dyDescent="0.35">
      <c r="B24" s="303" t="s">
        <v>279</v>
      </c>
      <c r="C24" s="295" t="s">
        <v>251</v>
      </c>
      <c r="D24" s="304" t="s">
        <v>280</v>
      </c>
      <c r="E24" s="298" t="s">
        <v>281</v>
      </c>
      <c r="F24" s="298" t="s">
        <v>282</v>
      </c>
      <c r="G24" s="296" t="s">
        <v>291</v>
      </c>
    </row>
    <row r="25" spans="2:7" ht="162.94999999999999" customHeight="1" x14ac:dyDescent="0.35"/>
  </sheetData>
  <mergeCells count="11">
    <mergeCell ref="B9:B10"/>
    <mergeCell ref="C9:C10"/>
    <mergeCell ref="E9:E10"/>
    <mergeCell ref="F9:F10"/>
    <mergeCell ref="G3:G4"/>
    <mergeCell ref="G5:G6"/>
    <mergeCell ref="B1:C6"/>
    <mergeCell ref="G1:G2"/>
    <mergeCell ref="D1:F2"/>
    <mergeCell ref="D3:F4"/>
    <mergeCell ref="D5:F6"/>
  </mergeCells>
  <dataValidations count="1">
    <dataValidation type="list" allowBlank="1" showInputMessage="1" showErrorMessage="1" sqref="C11:C24" xr:uid="{00000000-0002-0000-0600-000000000000}">
      <formula1>"Interna,Externa"</formula1>
    </dataValidation>
  </dataValidations>
  <printOptions horizontalCentered="1"/>
  <pageMargins left="0.51181102362204722" right="0.51181102362204722" top="0.82677165354330717" bottom="0.74803149606299213" header="0.31496062992125984" footer="0.31496062992125984"/>
  <pageSetup scale="33" fitToHeight="0" orientation="landscape" r:id="rId1"/>
  <headerFooter>
    <oddFooter>&amp;R&amp;"Arial,Normal"&amp;18Página &amp;P de &amp;N</oddFooter>
  </headerFooter>
  <rowBreaks count="1" manualBreakCount="1">
    <brk id="1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pageSetUpPr fitToPage="1"/>
  </sheetPr>
  <dimension ref="B1:L36"/>
  <sheetViews>
    <sheetView showGridLines="0" view="pageBreakPreview" topLeftCell="A10" zoomScale="60" zoomScaleNormal="90" workbookViewId="0">
      <selection activeCell="B19" sqref="B19:C19"/>
    </sheetView>
  </sheetViews>
  <sheetFormatPr baseColWidth="10" defaultColWidth="11.3984375" defaultRowHeight="13.5" x14ac:dyDescent="0.45"/>
  <cols>
    <col min="1" max="1" width="17.265625" style="159" customWidth="1"/>
    <col min="2" max="2" width="27.3984375" style="160" customWidth="1"/>
    <col min="3" max="4" width="26.265625" style="159" customWidth="1"/>
    <col min="5" max="5" width="62.265625" style="159" customWidth="1"/>
    <col min="6" max="6" width="46.265625" style="159" customWidth="1"/>
    <col min="7" max="7" width="4.1328125" style="159" customWidth="1"/>
    <col min="8" max="8" width="25" style="159" customWidth="1"/>
    <col min="9" max="9" width="33.86328125" style="159" customWidth="1"/>
    <col min="10" max="10" width="29.3984375" style="159" customWidth="1"/>
    <col min="11" max="11" width="46.73046875" style="159" customWidth="1"/>
    <col min="12" max="12" width="42.3984375" style="159" customWidth="1"/>
    <col min="13" max="16384" width="11.3984375" style="159"/>
  </cols>
  <sheetData>
    <row r="1" spans="2:12" ht="15.75" customHeight="1" x14ac:dyDescent="0.45">
      <c r="B1" s="602"/>
      <c r="C1" s="603"/>
      <c r="D1" s="604"/>
      <c r="E1" s="618" t="s">
        <v>298</v>
      </c>
      <c r="F1" s="619"/>
      <c r="G1" s="619"/>
      <c r="H1" s="619"/>
      <c r="I1" s="619"/>
      <c r="J1" s="619"/>
      <c r="K1" s="620"/>
      <c r="L1" s="614" t="s">
        <v>181</v>
      </c>
    </row>
    <row r="2" spans="2:12" ht="15.75" customHeight="1" thickBot="1" x14ac:dyDescent="0.5">
      <c r="B2" s="605"/>
      <c r="C2" s="606"/>
      <c r="D2" s="607"/>
      <c r="E2" s="621"/>
      <c r="F2" s="622"/>
      <c r="G2" s="622"/>
      <c r="H2" s="622"/>
      <c r="I2" s="622"/>
      <c r="J2" s="622"/>
      <c r="K2" s="623"/>
      <c r="L2" s="615"/>
    </row>
    <row r="3" spans="2:12" ht="15.75" customHeight="1" x14ac:dyDescent="0.45">
      <c r="B3" s="605"/>
      <c r="C3" s="606"/>
      <c r="D3" s="607"/>
      <c r="E3" s="624" t="s">
        <v>182</v>
      </c>
      <c r="F3" s="625"/>
      <c r="G3" s="625"/>
      <c r="H3" s="625"/>
      <c r="I3" s="625"/>
      <c r="J3" s="625"/>
      <c r="K3" s="626"/>
      <c r="L3" s="614" t="s">
        <v>205</v>
      </c>
    </row>
    <row r="4" spans="2:12" ht="15.75" customHeight="1" thickBot="1" x14ac:dyDescent="0.5">
      <c r="B4" s="605"/>
      <c r="C4" s="606"/>
      <c r="D4" s="607"/>
      <c r="E4" s="627"/>
      <c r="F4" s="628"/>
      <c r="G4" s="628"/>
      <c r="H4" s="628"/>
      <c r="I4" s="628"/>
      <c r="J4" s="628"/>
      <c r="K4" s="629"/>
      <c r="L4" s="615"/>
    </row>
    <row r="5" spans="2:12" ht="15.75" customHeight="1" x14ac:dyDescent="0.45">
      <c r="B5" s="605"/>
      <c r="C5" s="606"/>
      <c r="D5" s="607"/>
      <c r="E5" s="624" t="s">
        <v>138</v>
      </c>
      <c r="F5" s="625"/>
      <c r="G5" s="625"/>
      <c r="H5" s="625"/>
      <c r="I5" s="625"/>
      <c r="J5" s="625"/>
      <c r="K5" s="626"/>
      <c r="L5" s="616">
        <v>43854</v>
      </c>
    </row>
    <row r="6" spans="2:12" ht="15.75" customHeight="1" thickBot="1" x14ac:dyDescent="0.5">
      <c r="B6" s="608"/>
      <c r="C6" s="609"/>
      <c r="D6" s="610"/>
      <c r="E6" s="627"/>
      <c r="F6" s="628"/>
      <c r="G6" s="628"/>
      <c r="H6" s="628"/>
      <c r="I6" s="628"/>
      <c r="J6" s="628"/>
      <c r="K6" s="629"/>
      <c r="L6" s="617"/>
    </row>
    <row r="8" spans="2:12" ht="20.25" customHeight="1" thickBot="1" x14ac:dyDescent="0.5">
      <c r="B8" s="307" t="s">
        <v>71</v>
      </c>
      <c r="C8" s="308"/>
      <c r="D8" s="308"/>
      <c r="E8" s="308"/>
      <c r="F8" s="308"/>
      <c r="G8" s="308"/>
      <c r="H8" s="309" t="s">
        <v>34</v>
      </c>
      <c r="I8" s="308"/>
      <c r="J8" s="308"/>
      <c r="K8" s="308"/>
      <c r="L8" s="308"/>
    </row>
    <row r="9" spans="2:12" ht="41.25" customHeight="1" thickTop="1" x14ac:dyDescent="0.45">
      <c r="B9" s="310" t="s">
        <v>46</v>
      </c>
      <c r="C9" s="611" t="s">
        <v>70</v>
      </c>
      <c r="D9" s="612"/>
      <c r="E9" s="612"/>
      <c r="F9" s="613"/>
      <c r="G9" s="311"/>
      <c r="H9" s="310" t="s">
        <v>46</v>
      </c>
      <c r="I9" s="590" t="s">
        <v>70</v>
      </c>
      <c r="J9" s="590"/>
      <c r="K9" s="590"/>
      <c r="L9" s="591"/>
    </row>
    <row r="10" spans="2:12" ht="118.5" customHeight="1" x14ac:dyDescent="0.45">
      <c r="B10" s="312" t="s">
        <v>55</v>
      </c>
      <c r="C10" s="592" t="s">
        <v>384</v>
      </c>
      <c r="D10" s="593"/>
      <c r="E10" s="593"/>
      <c r="F10" s="594"/>
      <c r="G10" s="311"/>
      <c r="H10" s="312" t="s">
        <v>55</v>
      </c>
      <c r="I10" s="595" t="s">
        <v>375</v>
      </c>
      <c r="J10" s="596"/>
      <c r="K10" s="596"/>
      <c r="L10" s="597"/>
    </row>
    <row r="11" spans="2:12" ht="118.5" customHeight="1" x14ac:dyDescent="0.45">
      <c r="B11" s="312" t="s">
        <v>9</v>
      </c>
      <c r="C11" s="592" t="s">
        <v>385</v>
      </c>
      <c r="D11" s="593"/>
      <c r="E11" s="593"/>
      <c r="F11" s="594"/>
      <c r="G11" s="311"/>
      <c r="H11" s="312" t="s">
        <v>9</v>
      </c>
      <c r="I11" s="595" t="s">
        <v>392</v>
      </c>
      <c r="J11" s="596"/>
      <c r="K11" s="596"/>
      <c r="L11" s="597"/>
    </row>
    <row r="12" spans="2:12" ht="118.5" customHeight="1" x14ac:dyDescent="0.45">
      <c r="B12" s="312" t="s">
        <v>10</v>
      </c>
      <c r="C12" s="592" t="s">
        <v>386</v>
      </c>
      <c r="D12" s="593"/>
      <c r="E12" s="593"/>
      <c r="F12" s="594"/>
      <c r="G12" s="311"/>
      <c r="H12" s="312" t="s">
        <v>10</v>
      </c>
      <c r="I12" s="595" t="s">
        <v>393</v>
      </c>
      <c r="J12" s="596"/>
      <c r="K12" s="596"/>
      <c r="L12" s="597"/>
    </row>
    <row r="13" spans="2:12" ht="118.5" customHeight="1" x14ac:dyDescent="0.45">
      <c r="B13" s="312" t="s">
        <v>56</v>
      </c>
      <c r="C13" s="592" t="s">
        <v>387</v>
      </c>
      <c r="D13" s="593"/>
      <c r="E13" s="593"/>
      <c r="F13" s="594"/>
      <c r="G13" s="311"/>
      <c r="H13" s="312" t="s">
        <v>56</v>
      </c>
      <c r="I13" s="595" t="s">
        <v>394</v>
      </c>
      <c r="J13" s="596"/>
      <c r="K13" s="596"/>
      <c r="L13" s="597"/>
    </row>
    <row r="14" spans="2:12" ht="118.5" customHeight="1" x14ac:dyDescent="0.45">
      <c r="B14" s="312" t="s">
        <v>6</v>
      </c>
      <c r="C14" s="592" t="s">
        <v>388</v>
      </c>
      <c r="D14" s="593"/>
      <c r="E14" s="593"/>
      <c r="F14" s="594"/>
      <c r="G14" s="311"/>
      <c r="H14" s="312" t="s">
        <v>6</v>
      </c>
      <c r="I14" s="595" t="s">
        <v>376</v>
      </c>
      <c r="J14" s="596"/>
      <c r="K14" s="596"/>
      <c r="L14" s="597"/>
    </row>
    <row r="15" spans="2:12" ht="118.5" customHeight="1" x14ac:dyDescent="0.45">
      <c r="B15" s="312" t="s">
        <v>213</v>
      </c>
      <c r="C15" s="592" t="s">
        <v>389</v>
      </c>
      <c r="D15" s="593"/>
      <c r="E15" s="593"/>
      <c r="F15" s="594"/>
      <c r="G15" s="313"/>
      <c r="H15" s="312" t="s">
        <v>213</v>
      </c>
      <c r="I15" s="595" t="s">
        <v>395</v>
      </c>
      <c r="J15" s="596"/>
      <c r="K15" s="596"/>
      <c r="L15" s="597"/>
    </row>
    <row r="16" spans="2:12" ht="118.5" customHeight="1" x14ac:dyDescent="0.45">
      <c r="B16" s="314" t="s">
        <v>217</v>
      </c>
      <c r="C16" s="592" t="s">
        <v>374</v>
      </c>
      <c r="D16" s="593"/>
      <c r="E16" s="593"/>
      <c r="F16" s="594"/>
      <c r="G16" s="313"/>
      <c r="H16" s="314" t="s">
        <v>217</v>
      </c>
      <c r="I16" s="592" t="s">
        <v>377</v>
      </c>
      <c r="J16" s="593"/>
      <c r="K16" s="593"/>
      <c r="L16" s="594"/>
    </row>
    <row r="17" spans="2:12" ht="118.5" customHeight="1" x14ac:dyDescent="0.45">
      <c r="B17" s="314" t="s">
        <v>218</v>
      </c>
      <c r="C17" s="592" t="s">
        <v>390</v>
      </c>
      <c r="D17" s="593"/>
      <c r="E17" s="593"/>
      <c r="F17" s="594"/>
      <c r="G17" s="313"/>
      <c r="H17" s="314" t="s">
        <v>218</v>
      </c>
      <c r="I17" s="592" t="s">
        <v>396</v>
      </c>
      <c r="J17" s="593"/>
      <c r="K17" s="593"/>
      <c r="L17" s="594"/>
    </row>
    <row r="18" spans="2:12" ht="118.5" customHeight="1" thickBot="1" x14ac:dyDescent="0.5">
      <c r="B18" s="315" t="s">
        <v>57</v>
      </c>
      <c r="C18" s="587" t="s">
        <v>391</v>
      </c>
      <c r="D18" s="588"/>
      <c r="E18" s="588"/>
      <c r="F18" s="589"/>
      <c r="G18" s="311"/>
      <c r="H18" s="315" t="s">
        <v>57</v>
      </c>
      <c r="I18" s="587" t="s">
        <v>397</v>
      </c>
      <c r="J18" s="588"/>
      <c r="K18" s="588"/>
      <c r="L18" s="589"/>
    </row>
    <row r="19" spans="2:12" ht="12" customHeight="1" thickTop="1" thickBot="1" x14ac:dyDescent="0.5">
      <c r="B19" s="316"/>
      <c r="C19" s="311"/>
      <c r="D19" s="317"/>
      <c r="E19" s="317"/>
      <c r="F19" s="317"/>
      <c r="G19" s="317"/>
      <c r="H19" s="317"/>
      <c r="I19" s="317"/>
      <c r="J19" s="317"/>
      <c r="K19" s="317"/>
      <c r="L19" s="317"/>
    </row>
    <row r="20" spans="2:12" ht="50.25" customHeight="1" thickTop="1" x14ac:dyDescent="0.45">
      <c r="B20" s="318" t="s">
        <v>47</v>
      </c>
      <c r="C20" s="590" t="s">
        <v>70</v>
      </c>
      <c r="D20" s="590"/>
      <c r="E20" s="590"/>
      <c r="F20" s="591"/>
      <c r="G20" s="311"/>
      <c r="H20" s="310" t="s">
        <v>47</v>
      </c>
      <c r="I20" s="590" t="s">
        <v>70</v>
      </c>
      <c r="J20" s="590"/>
      <c r="K20" s="590"/>
      <c r="L20" s="591"/>
    </row>
    <row r="21" spans="2:12" ht="46.5" customHeight="1" x14ac:dyDescent="0.45">
      <c r="B21" s="319" t="s">
        <v>17</v>
      </c>
      <c r="C21" s="598" t="s">
        <v>378</v>
      </c>
      <c r="D21" s="593"/>
      <c r="E21" s="593"/>
      <c r="F21" s="594"/>
      <c r="G21" s="311"/>
      <c r="H21" s="312" t="s">
        <v>17</v>
      </c>
      <c r="I21" s="595" t="s">
        <v>381</v>
      </c>
      <c r="J21" s="596"/>
      <c r="K21" s="596"/>
      <c r="L21" s="597"/>
    </row>
    <row r="22" spans="2:12" ht="46.5" customHeight="1" x14ac:dyDescent="0.45">
      <c r="B22" s="319" t="s">
        <v>16</v>
      </c>
      <c r="C22" s="598" t="s">
        <v>379</v>
      </c>
      <c r="D22" s="593"/>
      <c r="E22" s="593"/>
      <c r="F22" s="594"/>
      <c r="G22" s="320"/>
      <c r="H22" s="312" t="s">
        <v>16</v>
      </c>
      <c r="I22" s="595" t="s">
        <v>382</v>
      </c>
      <c r="J22" s="596"/>
      <c r="K22" s="596"/>
      <c r="L22" s="597"/>
    </row>
    <row r="23" spans="2:12" ht="46.5" customHeight="1" thickBot="1" x14ac:dyDescent="0.5">
      <c r="B23" s="321" t="s">
        <v>13</v>
      </c>
      <c r="C23" s="599" t="s">
        <v>380</v>
      </c>
      <c r="D23" s="600"/>
      <c r="E23" s="600"/>
      <c r="F23" s="601"/>
      <c r="G23" s="311"/>
      <c r="H23" s="315" t="s">
        <v>13</v>
      </c>
      <c r="I23" s="587" t="s">
        <v>383</v>
      </c>
      <c r="J23" s="588"/>
      <c r="K23" s="588"/>
      <c r="L23" s="589"/>
    </row>
    <row r="24" spans="2:12" ht="21" thickTop="1" thickBot="1" x14ac:dyDescent="0.5">
      <c r="B24" s="316"/>
      <c r="C24" s="311"/>
      <c r="D24" s="317"/>
      <c r="E24" s="317"/>
      <c r="F24" s="317"/>
      <c r="G24" s="311"/>
      <c r="H24" s="316"/>
      <c r="I24" s="311"/>
      <c r="J24" s="317"/>
      <c r="K24" s="317"/>
      <c r="L24" s="317"/>
    </row>
    <row r="25" spans="2:12" ht="43.5" customHeight="1" thickTop="1" x14ac:dyDescent="0.45">
      <c r="B25" s="310" t="s">
        <v>48</v>
      </c>
      <c r="C25" s="590" t="s">
        <v>70</v>
      </c>
      <c r="D25" s="590"/>
      <c r="E25" s="590"/>
      <c r="F25" s="591"/>
      <c r="G25" s="311"/>
      <c r="H25" s="310" t="s">
        <v>48</v>
      </c>
      <c r="I25" s="590" t="s">
        <v>70</v>
      </c>
      <c r="J25" s="590"/>
      <c r="K25" s="590"/>
      <c r="L25" s="591"/>
    </row>
    <row r="26" spans="2:12" ht="78" customHeight="1" x14ac:dyDescent="0.45">
      <c r="B26" s="312" t="s">
        <v>14</v>
      </c>
      <c r="C26" s="592" t="s">
        <v>301</v>
      </c>
      <c r="D26" s="593"/>
      <c r="E26" s="593"/>
      <c r="F26" s="594"/>
      <c r="G26" s="311"/>
      <c r="H26" s="312" t="s">
        <v>14</v>
      </c>
      <c r="I26" s="595" t="s">
        <v>302</v>
      </c>
      <c r="J26" s="596"/>
      <c r="K26" s="596"/>
      <c r="L26" s="597"/>
    </row>
    <row r="27" spans="2:12" ht="78" customHeight="1" x14ac:dyDescent="0.45">
      <c r="B27" s="312" t="s">
        <v>4</v>
      </c>
      <c r="C27" s="595" t="s">
        <v>303</v>
      </c>
      <c r="D27" s="596"/>
      <c r="E27" s="596"/>
      <c r="F27" s="597"/>
      <c r="G27" s="311"/>
      <c r="H27" s="312" t="s">
        <v>4</v>
      </c>
      <c r="I27" s="595" t="s">
        <v>304</v>
      </c>
      <c r="J27" s="596"/>
      <c r="K27" s="596"/>
      <c r="L27" s="597"/>
    </row>
    <row r="28" spans="2:12" ht="78" customHeight="1" thickBot="1" x14ac:dyDescent="0.5">
      <c r="B28" s="315" t="s">
        <v>15</v>
      </c>
      <c r="C28" s="587" t="s">
        <v>305</v>
      </c>
      <c r="D28" s="588"/>
      <c r="E28" s="588"/>
      <c r="F28" s="589"/>
      <c r="G28" s="311"/>
      <c r="H28" s="315" t="s">
        <v>216</v>
      </c>
      <c r="I28" s="587" t="s">
        <v>306</v>
      </c>
      <c r="J28" s="588"/>
      <c r="K28" s="588"/>
      <c r="L28" s="589"/>
    </row>
    <row r="29" spans="2:12" ht="21" thickTop="1" thickBot="1" x14ac:dyDescent="0.5">
      <c r="B29" s="316"/>
      <c r="C29" s="311"/>
      <c r="D29" s="317"/>
      <c r="E29" s="317"/>
      <c r="F29" s="317"/>
      <c r="G29" s="311"/>
      <c r="H29" s="316"/>
      <c r="I29" s="311"/>
      <c r="J29" s="317"/>
      <c r="K29" s="317"/>
      <c r="L29" s="317"/>
    </row>
    <row r="30" spans="2:12" ht="21" thickTop="1" x14ac:dyDescent="0.45">
      <c r="B30" s="310" t="s">
        <v>72</v>
      </c>
      <c r="C30" s="322" t="s">
        <v>49</v>
      </c>
      <c r="D30" s="322" t="s">
        <v>50</v>
      </c>
      <c r="E30" s="590" t="s">
        <v>73</v>
      </c>
      <c r="F30" s="591"/>
      <c r="G30" s="311"/>
      <c r="H30" s="310" t="s">
        <v>72</v>
      </c>
      <c r="I30" s="322" t="s">
        <v>49</v>
      </c>
      <c r="J30" s="322" t="s">
        <v>50</v>
      </c>
      <c r="K30" s="590" t="s">
        <v>73</v>
      </c>
      <c r="L30" s="591"/>
    </row>
    <row r="31" spans="2:12" ht="162" customHeight="1" x14ac:dyDescent="0.45">
      <c r="B31" s="312" t="s">
        <v>18</v>
      </c>
      <c r="C31" s="323" t="s">
        <v>25</v>
      </c>
      <c r="D31" s="323" t="s">
        <v>2</v>
      </c>
      <c r="E31" s="324" t="s">
        <v>398</v>
      </c>
      <c r="F31" s="325"/>
      <c r="G31" s="311"/>
      <c r="H31" s="312" t="s">
        <v>58</v>
      </c>
      <c r="I31" s="326" t="s">
        <v>59</v>
      </c>
      <c r="J31" s="326" t="s">
        <v>60</v>
      </c>
      <c r="K31" s="305" t="s">
        <v>284</v>
      </c>
      <c r="L31" s="327"/>
    </row>
    <row r="32" spans="2:12" ht="179.25" customHeight="1" x14ac:dyDescent="0.45">
      <c r="B32" s="312" t="s">
        <v>19</v>
      </c>
      <c r="C32" s="328" t="s">
        <v>26</v>
      </c>
      <c r="D32" s="328" t="s">
        <v>1</v>
      </c>
      <c r="E32" s="324" t="s">
        <v>399</v>
      </c>
      <c r="F32" s="325"/>
      <c r="G32" s="311"/>
      <c r="H32" s="312" t="s">
        <v>61</v>
      </c>
      <c r="I32" s="329" t="s">
        <v>62</v>
      </c>
      <c r="J32" s="329" t="s">
        <v>63</v>
      </c>
      <c r="K32" s="305" t="s">
        <v>307</v>
      </c>
      <c r="L32" s="327"/>
    </row>
    <row r="33" spans="2:12" ht="179.25" customHeight="1" x14ac:dyDescent="0.45">
      <c r="B33" s="312" t="s">
        <v>20</v>
      </c>
      <c r="C33" s="330" t="s">
        <v>0</v>
      </c>
      <c r="D33" s="330" t="s">
        <v>24</v>
      </c>
      <c r="E33" s="324" t="s">
        <v>400</v>
      </c>
      <c r="F33" s="325"/>
      <c r="G33" s="311"/>
      <c r="H33" s="312" t="s">
        <v>64</v>
      </c>
      <c r="I33" s="331" t="s">
        <v>65</v>
      </c>
      <c r="J33" s="331" t="s">
        <v>66</v>
      </c>
      <c r="K33" s="305" t="s">
        <v>308</v>
      </c>
      <c r="L33" s="327"/>
    </row>
    <row r="34" spans="2:12" ht="179.25" customHeight="1" thickBot="1" x14ac:dyDescent="0.5">
      <c r="B34" s="312" t="s">
        <v>21</v>
      </c>
      <c r="C34" s="332" t="s">
        <v>27</v>
      </c>
      <c r="D34" s="332" t="s">
        <v>3</v>
      </c>
      <c r="E34" s="324" t="s">
        <v>402</v>
      </c>
      <c r="F34" s="325"/>
      <c r="G34" s="311"/>
      <c r="H34" s="333" t="s">
        <v>67</v>
      </c>
      <c r="I34" s="334" t="s">
        <v>68</v>
      </c>
      <c r="J34" s="334" t="s">
        <v>69</v>
      </c>
      <c r="K34" s="306" t="s">
        <v>309</v>
      </c>
      <c r="L34" s="335"/>
    </row>
    <row r="35" spans="2:12" ht="203.25" customHeight="1" thickTop="1" thickBot="1" x14ac:dyDescent="0.5">
      <c r="B35" s="315" t="s">
        <v>22</v>
      </c>
      <c r="C35" s="336" t="s">
        <v>28</v>
      </c>
      <c r="D35" s="336" t="s">
        <v>23</v>
      </c>
      <c r="E35" s="337" t="s">
        <v>401</v>
      </c>
      <c r="F35" s="338"/>
      <c r="G35" s="311"/>
      <c r="H35" s="339"/>
      <c r="I35" s="340"/>
      <c r="J35" s="340"/>
      <c r="K35" s="340"/>
      <c r="L35" s="340"/>
    </row>
    <row r="36" spans="2:12" ht="13.9" thickTop="1" x14ac:dyDescent="0.45"/>
  </sheetData>
  <mergeCells count="45">
    <mergeCell ref="B1:D6"/>
    <mergeCell ref="C9:F9"/>
    <mergeCell ref="I9:L9"/>
    <mergeCell ref="C10:F10"/>
    <mergeCell ref="L1:L2"/>
    <mergeCell ref="L3:L4"/>
    <mergeCell ref="L5:L6"/>
    <mergeCell ref="E1:K2"/>
    <mergeCell ref="E3:K4"/>
    <mergeCell ref="E5:K6"/>
    <mergeCell ref="C17:F17"/>
    <mergeCell ref="I17:L17"/>
    <mergeCell ref="I10:L10"/>
    <mergeCell ref="C11:F11"/>
    <mergeCell ref="I11:L11"/>
    <mergeCell ref="C15:F15"/>
    <mergeCell ref="I15:L15"/>
    <mergeCell ref="C12:F12"/>
    <mergeCell ref="I12:L12"/>
    <mergeCell ref="C13:F13"/>
    <mergeCell ref="I13:L13"/>
    <mergeCell ref="C14:F14"/>
    <mergeCell ref="I14:L14"/>
    <mergeCell ref="C23:F23"/>
    <mergeCell ref="I23:L23"/>
    <mergeCell ref="C18:F18"/>
    <mergeCell ref="I18:L18"/>
    <mergeCell ref="C20:F20"/>
    <mergeCell ref="I20:L20"/>
    <mergeCell ref="C28:F28"/>
    <mergeCell ref="I28:L28"/>
    <mergeCell ref="E30:F30"/>
    <mergeCell ref="K30:L30"/>
    <mergeCell ref="C16:F16"/>
    <mergeCell ref="I16:L16"/>
    <mergeCell ref="C25:F25"/>
    <mergeCell ref="I25:L25"/>
    <mergeCell ref="C26:F26"/>
    <mergeCell ref="I26:L26"/>
    <mergeCell ref="C27:F27"/>
    <mergeCell ref="I27:L27"/>
    <mergeCell ref="C21:F21"/>
    <mergeCell ref="I21:L21"/>
    <mergeCell ref="C22:F22"/>
    <mergeCell ref="I22:L22"/>
  </mergeCells>
  <printOptions horizontalCentered="1"/>
  <pageMargins left="0.51181102362204722" right="0.51181102362204722" top="1.0236220472440944" bottom="0.74803149606299213" header="0.31496062992125984" footer="0.31496062992125984"/>
  <pageSetup scale="31" fitToHeight="0" orientation="landscape" r:id="rId1"/>
  <headerFooter>
    <oddFooter>&amp;R&amp;"Arial,Normal"&amp;18Página &amp;P de &amp;N</oddFooter>
  </headerFooter>
  <rowBreaks count="1" manualBreakCount="1">
    <brk id="1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pageSetUpPr fitToPage="1"/>
  </sheetPr>
  <dimension ref="B1:V78"/>
  <sheetViews>
    <sheetView showGridLines="0" view="pageBreakPreview" topLeftCell="A7" zoomScale="50" zoomScaleNormal="90" zoomScaleSheetLayoutView="50" zoomScalePageLayoutView="80" workbookViewId="0">
      <selection activeCell="B19" sqref="B19:C19"/>
    </sheetView>
  </sheetViews>
  <sheetFormatPr baseColWidth="10" defaultColWidth="0.73046875" defaultRowHeight="13.5" x14ac:dyDescent="0.45"/>
  <cols>
    <col min="1" max="1" width="18.86328125" style="154" customWidth="1"/>
    <col min="2" max="2" width="24.59765625" style="154" customWidth="1"/>
    <col min="3" max="3" width="79.3984375" style="154" customWidth="1"/>
    <col min="4" max="4" width="22.265625" style="154" customWidth="1"/>
    <col min="5" max="5" width="14.1328125" style="154" customWidth="1"/>
    <col min="6" max="6" width="11.86328125" style="154" bestFit="1" customWidth="1"/>
    <col min="7" max="7" width="21.265625" style="154" customWidth="1"/>
    <col min="8" max="8" width="18.1328125" style="154" customWidth="1"/>
    <col min="9" max="9" width="17" style="154" customWidth="1"/>
    <col min="10" max="10" width="18.265625" style="154" customWidth="1"/>
    <col min="11" max="11" width="18.86328125" style="154" customWidth="1"/>
    <col min="12" max="13" width="15.73046875" style="154" customWidth="1"/>
    <col min="14" max="14" width="13.1328125" style="154" customWidth="1"/>
    <col min="15" max="15" width="15.1328125" style="154" customWidth="1"/>
    <col min="16" max="16" width="20.86328125" style="154" customWidth="1"/>
    <col min="17" max="17" width="20.3984375" style="154" customWidth="1"/>
    <col min="18" max="18" width="18.3984375" style="154" bestFit="1" customWidth="1"/>
    <col min="19" max="19" width="23.265625" style="154" customWidth="1"/>
    <col min="20" max="20" width="21.86328125" style="154" customWidth="1"/>
    <col min="21" max="21" width="26.1328125" style="154" customWidth="1"/>
    <col min="22" max="22" width="50.73046875" style="155" customWidth="1"/>
    <col min="23" max="23" width="0.73046875" style="154"/>
    <col min="24" max="24" width="20.73046875" style="154" customWidth="1"/>
    <col min="25" max="16384" width="0.73046875" style="154"/>
  </cols>
  <sheetData>
    <row r="1" spans="2:22" ht="15.75" customHeight="1" thickBot="1" x14ac:dyDescent="0.5"/>
    <row r="2" spans="2:22" ht="15" customHeight="1" x14ac:dyDescent="0.45">
      <c r="B2" s="651"/>
      <c r="C2" s="636"/>
      <c r="D2" s="654" t="s">
        <v>298</v>
      </c>
      <c r="E2" s="655"/>
      <c r="F2" s="655"/>
      <c r="G2" s="655"/>
      <c r="H2" s="655"/>
      <c r="I2" s="655"/>
      <c r="J2" s="655"/>
      <c r="K2" s="655"/>
      <c r="L2" s="655"/>
      <c r="M2" s="655"/>
      <c r="N2" s="655"/>
      <c r="O2" s="655"/>
      <c r="P2" s="655"/>
      <c r="Q2" s="655"/>
      <c r="R2" s="655"/>
      <c r="S2" s="656"/>
      <c r="T2" s="624" t="s">
        <v>181</v>
      </c>
      <c r="U2" s="626"/>
    </row>
    <row r="3" spans="2:22" ht="15" customHeight="1" thickBot="1" x14ac:dyDescent="0.5">
      <c r="B3" s="651"/>
      <c r="C3" s="637"/>
      <c r="D3" s="657"/>
      <c r="E3" s="658"/>
      <c r="F3" s="658"/>
      <c r="G3" s="658"/>
      <c r="H3" s="658"/>
      <c r="I3" s="658"/>
      <c r="J3" s="658"/>
      <c r="K3" s="658"/>
      <c r="L3" s="658"/>
      <c r="M3" s="658"/>
      <c r="N3" s="658"/>
      <c r="O3" s="658"/>
      <c r="P3" s="658"/>
      <c r="Q3" s="658"/>
      <c r="R3" s="658"/>
      <c r="S3" s="659"/>
      <c r="T3" s="627"/>
      <c r="U3" s="629"/>
    </row>
    <row r="4" spans="2:22" ht="15" customHeight="1" x14ac:dyDescent="0.45">
      <c r="B4" s="651"/>
      <c r="C4" s="637"/>
      <c r="D4" s="630" t="s">
        <v>182</v>
      </c>
      <c r="E4" s="631"/>
      <c r="F4" s="631"/>
      <c r="G4" s="631"/>
      <c r="H4" s="631"/>
      <c r="I4" s="631"/>
      <c r="J4" s="631"/>
      <c r="K4" s="631"/>
      <c r="L4" s="631"/>
      <c r="M4" s="631"/>
      <c r="N4" s="631"/>
      <c r="O4" s="631"/>
      <c r="P4" s="631"/>
      <c r="Q4" s="631"/>
      <c r="R4" s="631"/>
      <c r="S4" s="632"/>
      <c r="T4" s="624" t="s">
        <v>205</v>
      </c>
      <c r="U4" s="626"/>
    </row>
    <row r="5" spans="2:22" ht="15" customHeight="1" thickBot="1" x14ac:dyDescent="0.5">
      <c r="B5" s="651"/>
      <c r="C5" s="637"/>
      <c r="D5" s="633"/>
      <c r="E5" s="634"/>
      <c r="F5" s="634"/>
      <c r="G5" s="634"/>
      <c r="H5" s="634"/>
      <c r="I5" s="634"/>
      <c r="J5" s="634"/>
      <c r="K5" s="634"/>
      <c r="L5" s="634"/>
      <c r="M5" s="634"/>
      <c r="N5" s="634"/>
      <c r="O5" s="634"/>
      <c r="P5" s="634"/>
      <c r="Q5" s="634"/>
      <c r="R5" s="634"/>
      <c r="S5" s="635"/>
      <c r="T5" s="627"/>
      <c r="U5" s="629"/>
    </row>
    <row r="6" spans="2:22" ht="15" customHeight="1" x14ac:dyDescent="0.45">
      <c r="B6" s="651"/>
      <c r="C6" s="637"/>
      <c r="D6" s="630" t="s">
        <v>138</v>
      </c>
      <c r="E6" s="631"/>
      <c r="F6" s="631"/>
      <c r="G6" s="631"/>
      <c r="H6" s="631"/>
      <c r="I6" s="631"/>
      <c r="J6" s="631"/>
      <c r="K6" s="631"/>
      <c r="L6" s="631"/>
      <c r="M6" s="631"/>
      <c r="N6" s="631"/>
      <c r="O6" s="631"/>
      <c r="P6" s="631"/>
      <c r="Q6" s="631"/>
      <c r="R6" s="631"/>
      <c r="S6" s="632"/>
      <c r="T6" s="647">
        <v>43854</v>
      </c>
      <c r="U6" s="648"/>
    </row>
    <row r="7" spans="2:22" ht="15" customHeight="1" thickBot="1" x14ac:dyDescent="0.5">
      <c r="B7" s="651"/>
      <c r="C7" s="638"/>
      <c r="D7" s="633"/>
      <c r="E7" s="634"/>
      <c r="F7" s="634"/>
      <c r="G7" s="634"/>
      <c r="H7" s="634"/>
      <c r="I7" s="634"/>
      <c r="J7" s="634"/>
      <c r="K7" s="634"/>
      <c r="L7" s="634"/>
      <c r="M7" s="634"/>
      <c r="N7" s="634"/>
      <c r="O7" s="634"/>
      <c r="P7" s="634"/>
      <c r="Q7" s="634"/>
      <c r="R7" s="634"/>
      <c r="S7" s="635"/>
      <c r="T7" s="649"/>
      <c r="U7" s="650"/>
    </row>
    <row r="8" spans="2:22" ht="15" customHeight="1" thickBot="1" x14ac:dyDescent="0.5">
      <c r="B8" s="156"/>
      <c r="C8" s="152"/>
      <c r="D8" s="152"/>
      <c r="E8" s="152"/>
      <c r="F8" s="152"/>
      <c r="G8" s="152"/>
      <c r="H8" s="153"/>
      <c r="I8" s="153"/>
    </row>
    <row r="9" spans="2:22" ht="18.600000000000001" customHeight="1" thickTop="1" x14ac:dyDescent="0.45">
      <c r="B9" s="652" t="s">
        <v>51</v>
      </c>
      <c r="C9" s="643" t="s">
        <v>53</v>
      </c>
      <c r="D9" s="643" t="s">
        <v>45</v>
      </c>
      <c r="E9" s="644" t="s">
        <v>52</v>
      </c>
      <c r="F9" s="645"/>
      <c r="G9" s="645"/>
      <c r="H9" s="645"/>
      <c r="I9" s="645"/>
      <c r="J9" s="645"/>
      <c r="K9" s="645"/>
      <c r="L9" s="645"/>
      <c r="M9" s="645"/>
      <c r="N9" s="645"/>
      <c r="O9" s="646"/>
      <c r="P9" s="639" t="s">
        <v>46</v>
      </c>
      <c r="Q9" s="639" t="s">
        <v>47</v>
      </c>
      <c r="R9" s="639" t="s">
        <v>48</v>
      </c>
      <c r="S9" s="639" t="s">
        <v>54</v>
      </c>
      <c r="T9" s="639" t="s">
        <v>49</v>
      </c>
      <c r="U9" s="639" t="s">
        <v>50</v>
      </c>
      <c r="V9" s="641" t="s">
        <v>285</v>
      </c>
    </row>
    <row r="10" spans="2:22" ht="65.099999999999994" customHeight="1" thickBot="1" x14ac:dyDescent="0.5">
      <c r="B10" s="653"/>
      <c r="C10" s="640"/>
      <c r="D10" s="640"/>
      <c r="E10" s="291" t="s">
        <v>206</v>
      </c>
      <c r="F10" s="291" t="s">
        <v>207</v>
      </c>
      <c r="G10" s="291" t="s">
        <v>208</v>
      </c>
      <c r="H10" s="291" t="s">
        <v>209</v>
      </c>
      <c r="I10" s="291" t="s">
        <v>210</v>
      </c>
      <c r="J10" s="291" t="s">
        <v>342</v>
      </c>
      <c r="K10" s="291" t="s">
        <v>211</v>
      </c>
      <c r="L10" s="291" t="s">
        <v>212</v>
      </c>
      <c r="M10" s="291" t="s">
        <v>343</v>
      </c>
      <c r="N10" s="291" t="s">
        <v>286</v>
      </c>
      <c r="O10" s="291" t="s">
        <v>219</v>
      </c>
      <c r="P10" s="640"/>
      <c r="Q10" s="640"/>
      <c r="R10" s="640"/>
      <c r="S10" s="640"/>
      <c r="T10" s="640"/>
      <c r="U10" s="640"/>
      <c r="V10" s="642"/>
    </row>
    <row r="11" spans="2:22" ht="78" customHeight="1" thickTop="1" x14ac:dyDescent="0.45">
      <c r="B11" s="341" t="s">
        <v>33</v>
      </c>
      <c r="C11" s="342" t="str">
        <f>'2a. Análisis Foda'!B10:B10</f>
        <v>Se tiene una planeación de Directorio de Módulos.</v>
      </c>
      <c r="D11" s="343" t="s">
        <v>74</v>
      </c>
      <c r="E11" s="273"/>
      <c r="F11" s="273"/>
      <c r="G11" s="273"/>
      <c r="H11" s="273"/>
      <c r="I11" s="273"/>
      <c r="J11" s="273"/>
      <c r="K11" s="273"/>
      <c r="L11" s="273"/>
      <c r="M11" s="273"/>
      <c r="N11" s="273"/>
      <c r="O11" s="274"/>
      <c r="P11" s="275"/>
      <c r="Q11" s="275"/>
      <c r="R11" s="275"/>
      <c r="S11" s="276" t="str">
        <f>IFERROR(VLOOKUP(P11,Naturaleza,2,FALSE)*VLOOKUP('4b. Matriz - Contexto'!Q11,Probabilidad,2,FALSE)*VLOOKUP('4b. Matriz - Contexto'!R11,Severidad,2,FALSE),"")</f>
        <v/>
      </c>
      <c r="T11" s="277" t="str">
        <f t="shared" ref="T11:T36" si="0">IF(B11="Debilidad",IF(S11="","",IF(AND(S11&gt;0,S11&lt;200),"Trivial",IF(OR(S11=200,AND(S11&gt;200,S11&lt;400)),"Tolerable",IF(OR(S11=400,AND(S11&gt;400,S11&lt;600)),"Moderado",IF(OR(S11=600,AND(S11&gt;600,S11&lt;800)),"Importante",IF(OR(S11=800,S11&gt;800,S11&lt;1000,S11=1000),"Intolerable","")))))),IF(B11="Amenaza",IF(S11="","",IF(AND(S11&gt;0,S11&lt;200),"Trivial",IF(OR(S11=200,AND(S11&gt;200,S11&lt;400)),"Tolerable",IF(OR(S11=400,AND(S11&gt;400,S11&lt;600)),"Moderado",IF(OR(S11=600,AND(S11&gt;600,S11&lt;800)),"Importante",IF(OR(S11=800,S11&gt;800,S11&lt;1000,S11=1000),"Intolerable","")))))),IF(B11="Fortaleza",IF(S11="","",IF(AND(S11&gt;0,S11&lt;250),"Limitada",IF(OR(S11=250,AND(S11&gt;250,S11&lt;500)),"Media",IF(OR(S11=500,AND(S11&gt;500,S11&lt;750)),"Potencial",IF(OR(S11=750,AND(S11&gt;750,S11&lt;=1000)),"Sobresaliente", ""))))), IF(B11="Oportunidad",IF(S11="","",IF(AND(S11&gt;0,S11&lt;250),"Limitada",IF(OR(S11=250,AND(S11&gt;250,S11&lt;500)),"Media",IF(OR(S11=500,AND(S11&gt;500,S11&lt;750)),"Potencial",IF(OR(S11=750,AND(S11&gt;750,S11&lt;=1000)),"Sobresaliente",""))))),""))))</f>
        <v/>
      </c>
      <c r="U11" s="276" t="str">
        <f>IFERROR(VLOOKUP(T11,'4a. Parámetros de riesgo'!$C$31:$D$35,2,FALSE),IFERROR(VLOOKUP(T11,'4a. Parámetros de riesgo'!$I$31:$J$35,2,FALSE),""))</f>
        <v/>
      </c>
      <c r="V11" s="278" t="str">
        <f>IFERROR(VLOOKUP(U11,'4a. Parámetros de riesgo'!$D$31:$E$35,2,FALSE),IFERROR(VLOOKUP(U11,'4a. Parámetros de riesgo'!$J$31:$K$35,2,FALSE),""))</f>
        <v/>
      </c>
    </row>
    <row r="12" spans="2:22" ht="78" customHeight="1" x14ac:dyDescent="0.45">
      <c r="B12" s="341" t="s">
        <v>33</v>
      </c>
      <c r="C12" s="342" t="str">
        <f>'2a. Análisis Foda'!B11:B11</f>
        <v>Atención a Ciudadanos con problemas de movilización.</v>
      </c>
      <c r="D12" s="343" t="s">
        <v>74</v>
      </c>
      <c r="E12" s="273"/>
      <c r="F12" s="273"/>
      <c r="G12" s="273"/>
      <c r="H12" s="273"/>
      <c r="I12" s="273"/>
      <c r="J12" s="273"/>
      <c r="K12" s="273"/>
      <c r="L12" s="273"/>
      <c r="M12" s="273"/>
      <c r="N12" s="273"/>
      <c r="O12" s="274"/>
      <c r="P12" s="275"/>
      <c r="Q12" s="275"/>
      <c r="R12" s="275"/>
      <c r="S12" s="277" t="str">
        <f>IFERROR(VLOOKUP(P12,Naturaleza,2,FALSE)*VLOOKUP('4b. Matriz - Contexto'!Q12,Probabilidad,2,FALSE)*VLOOKUP('4b. Matriz - Contexto'!R12,Severidad,2,FALSE),"")</f>
        <v/>
      </c>
      <c r="T12" s="279" t="str">
        <f t="shared" si="0"/>
        <v/>
      </c>
      <c r="U12" s="276" t="str">
        <f>IFERROR(VLOOKUP(T12,'4a. Parámetros de riesgo'!$C$31:$D$35,2,FALSE),IFERROR(VLOOKUP(T12,'4a. Parámetros de riesgo'!$I$31:$J$35,2,FALSE),""))</f>
        <v/>
      </c>
      <c r="V12" s="278" t="str">
        <f>IFERROR(VLOOKUP(U12,'4a. Parámetros de riesgo'!$D$31:$E$35,2,FALSE),IFERROR(VLOOKUP(U12,'4a. Parámetros de riesgo'!$J$31:$K$35,2,FALSE),""))</f>
        <v/>
      </c>
    </row>
    <row r="13" spans="2:22" ht="78" customHeight="1" x14ac:dyDescent="0.45">
      <c r="B13" s="341" t="s">
        <v>33</v>
      </c>
      <c r="C13" s="342" t="str">
        <f>'2a. Análisis Foda'!B12:B12</f>
        <v>Compromiso institucional de la Alta Dirección del Instituto.</v>
      </c>
      <c r="D13" s="343" t="s">
        <v>74</v>
      </c>
      <c r="E13" s="273"/>
      <c r="F13" s="273"/>
      <c r="G13" s="273"/>
      <c r="H13" s="273"/>
      <c r="I13" s="273"/>
      <c r="J13" s="273"/>
      <c r="K13" s="273"/>
      <c r="L13" s="273"/>
      <c r="M13" s="273"/>
      <c r="N13" s="273"/>
      <c r="O13" s="274"/>
      <c r="P13" s="275"/>
      <c r="Q13" s="275"/>
      <c r="R13" s="275"/>
      <c r="S13" s="277" t="str">
        <f>IFERROR(VLOOKUP(P13,Naturaleza,2,FALSE)*VLOOKUP('4b. Matriz - Contexto'!Q13,Probabilidad,2,FALSE)*VLOOKUP('4b. Matriz - Contexto'!R13,Severidad,2,FALSE),"")</f>
        <v/>
      </c>
      <c r="T13" s="279" t="str">
        <f t="shared" si="0"/>
        <v/>
      </c>
      <c r="U13" s="276" t="str">
        <f>IFERROR(VLOOKUP(T13,'4a. Parámetros de riesgo'!$C$31:$D$35,2,FALSE),IFERROR(VLOOKUP(T13,'4a. Parámetros de riesgo'!$I$31:$J$35,2,FALSE),""))</f>
        <v/>
      </c>
      <c r="V13" s="278" t="str">
        <f>IFERROR(VLOOKUP(U13,'4a. Parámetros de riesgo'!$D$31:$E$35,2,FALSE),IFERROR(VLOOKUP(U13,'4a. Parámetros de riesgo'!$J$31:$K$35,2,FALSE),""))</f>
        <v/>
      </c>
    </row>
    <row r="14" spans="2:22" ht="78" customHeight="1" x14ac:dyDescent="0.45">
      <c r="B14" s="341" t="s">
        <v>33</v>
      </c>
      <c r="C14" s="342" t="str">
        <f>'2a. Análisis Foda'!B13:B13</f>
        <v>Personal experimentado en Módulos de Atención Ciudadana.</v>
      </c>
      <c r="D14" s="343" t="s">
        <v>74</v>
      </c>
      <c r="E14" s="273"/>
      <c r="F14" s="273"/>
      <c r="G14" s="273"/>
      <c r="H14" s="273"/>
      <c r="I14" s="273"/>
      <c r="J14" s="273"/>
      <c r="K14" s="273"/>
      <c r="L14" s="273"/>
      <c r="M14" s="273"/>
      <c r="N14" s="273"/>
      <c r="O14" s="274"/>
      <c r="P14" s="275"/>
      <c r="Q14" s="275"/>
      <c r="R14" s="275"/>
      <c r="S14" s="277" t="str">
        <f>IFERROR(VLOOKUP(P14,Naturaleza,2,FALSE)*VLOOKUP('4b. Matriz - Contexto'!Q14,Probabilidad,2,FALSE)*VLOOKUP('4b. Matriz - Contexto'!R14,Severidad,2,FALSE),"")</f>
        <v/>
      </c>
      <c r="T14" s="279" t="str">
        <f t="shared" si="0"/>
        <v/>
      </c>
      <c r="U14" s="276" t="str">
        <f>IFERROR(VLOOKUP(T14,'4a. Parámetros de riesgo'!$C$31:$D$35,2,FALSE),IFERROR(VLOOKUP(T14,'4a. Parámetros de riesgo'!$I$31:$J$35,2,FALSE),""))</f>
        <v/>
      </c>
      <c r="V14" s="278" t="str">
        <f>IFERROR(VLOOKUP(U14,'4a. Parámetros de riesgo'!$D$31:$E$35,2,FALSE),IFERROR(VLOOKUP(U14,'4a. Parámetros de riesgo'!$J$31:$K$35,2,FALSE),""))</f>
        <v/>
      </c>
    </row>
    <row r="15" spans="2:22" ht="78" customHeight="1" x14ac:dyDescent="0.45">
      <c r="B15" s="341" t="s">
        <v>33</v>
      </c>
      <c r="C15" s="342" t="str">
        <f>'2a. Análisis Foda'!B14:B14</f>
        <v>Procedimientos estandarizados en manuales y lineamientos.</v>
      </c>
      <c r="D15" s="343" t="s">
        <v>74</v>
      </c>
      <c r="E15" s="273"/>
      <c r="F15" s="273"/>
      <c r="G15" s="273"/>
      <c r="H15" s="273"/>
      <c r="I15" s="273"/>
      <c r="J15" s="273"/>
      <c r="K15" s="273"/>
      <c r="L15" s="273"/>
      <c r="M15" s="273"/>
      <c r="N15" s="273"/>
      <c r="O15" s="274"/>
      <c r="P15" s="275"/>
      <c r="Q15" s="275"/>
      <c r="R15" s="275"/>
      <c r="S15" s="277" t="str">
        <f>IFERROR(VLOOKUP(P15,Naturaleza,2,FALSE)*VLOOKUP('4b. Matriz - Contexto'!Q15,Probabilidad,2,FALSE)*VLOOKUP('4b. Matriz - Contexto'!R15,Severidad,2,FALSE),"")</f>
        <v/>
      </c>
      <c r="T15" s="279" t="str">
        <f t="shared" si="0"/>
        <v/>
      </c>
      <c r="U15" s="276" t="str">
        <f>IFERROR(VLOOKUP(T15,'4a. Parámetros de riesgo'!$C$31:$D$35,2,FALSE),IFERROR(VLOOKUP(T15,'4a. Parámetros de riesgo'!$I$31:$J$35,2,FALSE),""))</f>
        <v/>
      </c>
      <c r="V15" s="278" t="str">
        <f>IFERROR(VLOOKUP(U15,'4a. Parámetros de riesgo'!$D$31:$E$35,2,FALSE),IFERROR(VLOOKUP(U15,'4a. Parámetros de riesgo'!$J$31:$K$35,2,FALSE),""))</f>
        <v/>
      </c>
    </row>
    <row r="16" spans="2:22" ht="78" customHeight="1" x14ac:dyDescent="0.45">
      <c r="B16" s="341" t="s">
        <v>33</v>
      </c>
      <c r="C16" s="342" t="str">
        <f>'2a. Análisis Foda'!B15:B15</f>
        <v>Conocimiento de la normatividad por parte del personal.</v>
      </c>
      <c r="D16" s="343" t="s">
        <v>74</v>
      </c>
      <c r="E16" s="273"/>
      <c r="F16" s="273"/>
      <c r="G16" s="273"/>
      <c r="H16" s="273"/>
      <c r="I16" s="273"/>
      <c r="J16" s="273"/>
      <c r="K16" s="273"/>
      <c r="L16" s="273"/>
      <c r="M16" s="273"/>
      <c r="N16" s="273"/>
      <c r="O16" s="274"/>
      <c r="P16" s="275"/>
      <c r="Q16" s="275"/>
      <c r="R16" s="275"/>
      <c r="S16" s="277" t="str">
        <f>IFERROR(VLOOKUP(P16,Naturaleza,2,FALSE)*VLOOKUP('4b. Matriz - Contexto'!Q16,Probabilidad,2,FALSE)*VLOOKUP('4b. Matriz - Contexto'!R16,Severidad,2,FALSE),"")</f>
        <v/>
      </c>
      <c r="T16" s="279" t="str">
        <f t="shared" si="0"/>
        <v/>
      </c>
      <c r="U16" s="276" t="str">
        <f>IFERROR(VLOOKUP(T16,'4a. Parámetros de riesgo'!$C$31:$D$35,2,FALSE),IFERROR(VLOOKUP(T16,'4a. Parámetros de riesgo'!$I$31:$J$35,2,FALSE),""))</f>
        <v/>
      </c>
      <c r="V16" s="278" t="str">
        <f>IFERROR(VLOOKUP(U16,'4a. Parámetros de riesgo'!$D$31:$E$35,2,FALSE),IFERROR(VLOOKUP(U16,'4a. Parámetros de riesgo'!$J$31:$K$35,2,FALSE),""))</f>
        <v/>
      </c>
    </row>
    <row r="17" spans="2:22" ht="78" customHeight="1" x14ac:dyDescent="0.45">
      <c r="B17" s="341" t="s">
        <v>33</v>
      </c>
      <c r="C17" s="342" t="str">
        <f>'2a. Análisis Foda'!B16:B16</f>
        <v>Fideicomiso para la infraestructura de Módulos de Atención Ciudadana.</v>
      </c>
      <c r="D17" s="343" t="s">
        <v>74</v>
      </c>
      <c r="E17" s="273"/>
      <c r="F17" s="273"/>
      <c r="G17" s="273"/>
      <c r="H17" s="273"/>
      <c r="I17" s="273"/>
      <c r="J17" s="273"/>
      <c r="K17" s="273"/>
      <c r="L17" s="273"/>
      <c r="M17" s="273"/>
      <c r="N17" s="273"/>
      <c r="O17" s="274"/>
      <c r="P17" s="275"/>
      <c r="Q17" s="275"/>
      <c r="R17" s="275"/>
      <c r="S17" s="277" t="str">
        <f>IFERROR(VLOOKUP(P17,Naturaleza,2,FALSE)*VLOOKUP('4b. Matriz - Contexto'!Q17,Probabilidad,2,FALSE)*VLOOKUP('4b. Matriz - Contexto'!R17,Severidad,2,FALSE),"")</f>
        <v/>
      </c>
      <c r="T17" s="279" t="str">
        <f t="shared" si="0"/>
        <v/>
      </c>
      <c r="U17" s="276" t="str">
        <f>IFERROR(VLOOKUP(T17,'4a. Parámetros de riesgo'!$C$31:$D$35,2,FALSE),IFERROR(VLOOKUP(T17,'4a. Parámetros de riesgo'!$I$31:$J$35,2,FALSE),""))</f>
        <v/>
      </c>
      <c r="V17" s="278" t="str">
        <f>IFERROR(VLOOKUP(U17,'4a. Parámetros de riesgo'!$D$31:$E$35,2,FALSE),IFERROR(VLOOKUP(U17,'4a. Parámetros de riesgo'!$J$31:$K$35,2,FALSE),""))</f>
        <v/>
      </c>
    </row>
    <row r="18" spans="2:22" ht="78" customHeight="1" x14ac:dyDescent="0.45">
      <c r="B18" s="341" t="s">
        <v>33</v>
      </c>
      <c r="C18" s="342" t="str">
        <f>'2a. Análisis Foda'!B17:B17</f>
        <v>Profesionalización de los MSPEN .</v>
      </c>
      <c r="D18" s="343" t="s">
        <v>74</v>
      </c>
      <c r="E18" s="273"/>
      <c r="F18" s="273"/>
      <c r="G18" s="273"/>
      <c r="H18" s="273"/>
      <c r="I18" s="273"/>
      <c r="J18" s="273"/>
      <c r="K18" s="273"/>
      <c r="L18" s="273"/>
      <c r="M18" s="273"/>
      <c r="N18" s="273"/>
      <c r="O18" s="274"/>
      <c r="P18" s="275"/>
      <c r="Q18" s="275"/>
      <c r="R18" s="275"/>
      <c r="S18" s="277" t="str">
        <f>IFERROR(VLOOKUP(P18,Naturaleza,2,FALSE)*VLOOKUP('4b. Matriz - Contexto'!Q18,Probabilidad,2,FALSE)*VLOOKUP('4b. Matriz - Contexto'!R18,Severidad,2,FALSE),"")</f>
        <v/>
      </c>
      <c r="T18" s="279" t="str">
        <f t="shared" si="0"/>
        <v/>
      </c>
      <c r="U18" s="276" t="str">
        <f>IFERROR(VLOOKUP(T18,'4a. Parámetros de riesgo'!$C$31:$D$35,2,FALSE),IFERROR(VLOOKUP(T18,'4a. Parámetros de riesgo'!$I$31:$J$35,2,FALSE),""))</f>
        <v/>
      </c>
      <c r="V18" s="278" t="str">
        <f>IFERROR(VLOOKUP(U18,'4a. Parámetros de riesgo'!$D$31:$E$35,2,FALSE),IFERROR(VLOOKUP(U18,'4a. Parámetros de riesgo'!$J$31:$K$35,2,FALSE),""))</f>
        <v/>
      </c>
    </row>
    <row r="19" spans="2:22" ht="78" customHeight="1" x14ac:dyDescent="0.45">
      <c r="B19" s="341" t="s">
        <v>33</v>
      </c>
      <c r="C19" s="342" t="str">
        <f>'2a. Análisis Foda'!B18:B18</f>
        <v>Actualización constante de equipo tecnológico y sistemas informáticos.</v>
      </c>
      <c r="D19" s="343" t="s">
        <v>74</v>
      </c>
      <c r="E19" s="273"/>
      <c r="F19" s="273"/>
      <c r="G19" s="273"/>
      <c r="H19" s="273"/>
      <c r="I19" s="273"/>
      <c r="J19" s="273"/>
      <c r="K19" s="273"/>
      <c r="L19" s="273"/>
      <c r="M19" s="273"/>
      <c r="N19" s="273"/>
      <c r="O19" s="274"/>
      <c r="P19" s="275"/>
      <c r="Q19" s="275"/>
      <c r="R19" s="275"/>
      <c r="S19" s="277" t="str">
        <f>IFERROR(VLOOKUP(P19,Naturaleza,2,FALSE)*VLOOKUP('4b. Matriz - Contexto'!Q19,Probabilidad,2,FALSE)*VLOOKUP('4b. Matriz - Contexto'!R19,Severidad,2,FALSE),"")</f>
        <v/>
      </c>
      <c r="T19" s="279" t="str">
        <f t="shared" si="0"/>
        <v/>
      </c>
      <c r="U19" s="276" t="str">
        <f>IFERROR(VLOOKUP(T19,'4a. Parámetros de riesgo'!$C$31:$D$35,2,FALSE),IFERROR(VLOOKUP(T19,'4a. Parámetros de riesgo'!$I$31:$J$35,2,FALSE),""))</f>
        <v/>
      </c>
      <c r="V19" s="278" t="str">
        <f>IFERROR(VLOOKUP(U19,'4a. Parámetros de riesgo'!$D$31:$E$35,2,FALSE),IFERROR(VLOOKUP(U19,'4a. Parámetros de riesgo'!$J$31:$K$35,2,FALSE),""))</f>
        <v/>
      </c>
    </row>
    <row r="20" spans="2:22" ht="78" customHeight="1" x14ac:dyDescent="0.45">
      <c r="B20" s="341" t="s">
        <v>33</v>
      </c>
      <c r="C20" s="342" t="str">
        <f>'2a. Análisis Foda'!B20:B20</f>
        <v>Las medidas de seguridad en el control de los registros y datos personales.</v>
      </c>
      <c r="D20" s="343" t="s">
        <v>74</v>
      </c>
      <c r="E20" s="273"/>
      <c r="F20" s="273"/>
      <c r="G20" s="273"/>
      <c r="H20" s="273"/>
      <c r="I20" s="273"/>
      <c r="J20" s="273"/>
      <c r="K20" s="273"/>
      <c r="L20" s="273"/>
      <c r="M20" s="273"/>
      <c r="N20" s="273"/>
      <c r="O20" s="274"/>
      <c r="P20" s="275"/>
      <c r="Q20" s="275"/>
      <c r="R20" s="275"/>
      <c r="S20" s="277" t="str">
        <f>IFERROR(VLOOKUP(P20,Naturaleza,2,FALSE)*VLOOKUP('4b. Matriz - Contexto'!Q20,Probabilidad,2,FALSE)*VLOOKUP('4b. Matriz - Contexto'!R20,Severidad,2,FALSE),"")</f>
        <v/>
      </c>
      <c r="T20" s="279" t="str">
        <f t="shared" si="0"/>
        <v/>
      </c>
      <c r="U20" s="276" t="str">
        <f>IFERROR(VLOOKUP(T20,'4a. Parámetros de riesgo'!$C$31:$D$35,2,FALSE),IFERROR(VLOOKUP(T20,'4a. Parámetros de riesgo'!$I$31:$J$35,2,FALSE),""))</f>
        <v/>
      </c>
      <c r="V20" s="278" t="str">
        <f>IFERROR(VLOOKUP(U20,'4a. Parámetros de riesgo'!$D$31:$E$35,2,FALSE),IFERROR(VLOOKUP(U20,'4a. Parámetros de riesgo'!$J$31:$K$35,2,FALSE),""))</f>
        <v/>
      </c>
    </row>
    <row r="21" spans="2:22" ht="78" customHeight="1" x14ac:dyDescent="0.45">
      <c r="B21" s="341" t="s">
        <v>33</v>
      </c>
      <c r="C21" s="342" t="str">
        <f>'2a. Análisis Foda'!B21:B21</f>
        <v>Gratuidad de la Credencial para Votar.</v>
      </c>
      <c r="D21" s="343" t="s">
        <v>74</v>
      </c>
      <c r="E21" s="275"/>
      <c r="F21" s="275"/>
      <c r="G21" s="275"/>
      <c r="H21" s="275"/>
      <c r="I21" s="275"/>
      <c r="J21" s="273"/>
      <c r="K21" s="273"/>
      <c r="L21" s="273"/>
      <c r="M21" s="273"/>
      <c r="N21" s="273"/>
      <c r="O21" s="274"/>
      <c r="P21" s="275"/>
      <c r="Q21" s="275"/>
      <c r="R21" s="275"/>
      <c r="S21" s="277" t="str">
        <f>IFERROR(VLOOKUP(P21,Naturaleza,2,FALSE)*VLOOKUP('4b. Matriz - Contexto'!Q21,Probabilidad,2,FALSE)*VLOOKUP('4b. Matriz - Contexto'!R21,Severidad,2,FALSE),"")</f>
        <v/>
      </c>
      <c r="T21" s="279" t="str">
        <f t="shared" si="0"/>
        <v/>
      </c>
      <c r="U21" s="276" t="str">
        <f>IFERROR(VLOOKUP(T21,'4a. Parámetros de riesgo'!$C$31:$D$35,2,FALSE),IFERROR(VLOOKUP(T21,'4a. Parámetros de riesgo'!$I$31:$J$35,2,FALSE),""))</f>
        <v/>
      </c>
      <c r="V21" s="278" t="str">
        <f>IFERROR(VLOOKUP(U21,'4a. Parámetros de riesgo'!$D$31:$E$35,2,FALSE),IFERROR(VLOOKUP(U21,'4a. Parámetros de riesgo'!$J$31:$K$35,2,FALSE),""))</f>
        <v/>
      </c>
    </row>
    <row r="22" spans="2:22" ht="78" customHeight="1" x14ac:dyDescent="0.45">
      <c r="B22" s="341" t="s">
        <v>31</v>
      </c>
      <c r="C22" s="342" t="str">
        <f>'2a. Análisis Foda'!L10:L10</f>
        <v>Metodología deficiente para la capacitación.</v>
      </c>
      <c r="D22" s="343" t="s">
        <v>117</v>
      </c>
      <c r="E22" s="273"/>
      <c r="F22" s="273"/>
      <c r="G22" s="273"/>
      <c r="H22" s="273"/>
      <c r="I22" s="273"/>
      <c r="J22" s="273"/>
      <c r="K22" s="273"/>
      <c r="L22" s="273"/>
      <c r="M22" s="273"/>
      <c r="N22" s="273"/>
      <c r="O22" s="274"/>
      <c r="P22" s="275"/>
      <c r="Q22" s="275"/>
      <c r="R22" s="275"/>
      <c r="S22" s="277" t="str">
        <f>IFERROR(VLOOKUP(P22,Naturaleza,2,FALSE)*VLOOKUP('4b. Matriz - Contexto'!Q22,Probabilidad,2,FALSE)*VLOOKUP('4b. Matriz - Contexto'!R22,Severidad,2,FALSE),"")</f>
        <v/>
      </c>
      <c r="T22" s="279" t="str">
        <f t="shared" si="0"/>
        <v/>
      </c>
      <c r="U22" s="276" t="str">
        <f>IFERROR(VLOOKUP(T22,'4a. Parámetros de riesgo'!$C$31:$D$35,2,FALSE),IFERROR(VLOOKUP(T22,'4a. Parámetros de riesgo'!$I$31:$J$35,2,FALSE),""))</f>
        <v/>
      </c>
      <c r="V22" s="278" t="str">
        <f>IFERROR(VLOOKUP(U22,'4a. Parámetros de riesgo'!$D$31:$E$35,2,FALSE),IFERROR(VLOOKUP(U22,'4a. Parámetros de riesgo'!$J$31:$K$35,2,FALSE),""))</f>
        <v/>
      </c>
    </row>
    <row r="23" spans="2:22" ht="78" customHeight="1" x14ac:dyDescent="0.45">
      <c r="B23" s="341" t="s">
        <v>31</v>
      </c>
      <c r="C23" s="342" t="str">
        <f>'2a. Análisis Foda'!L11:L11</f>
        <v>Falta de oportunidad en la disposición de recursos.</v>
      </c>
      <c r="D23" s="343" t="s">
        <v>117</v>
      </c>
      <c r="E23" s="273"/>
      <c r="F23" s="273"/>
      <c r="G23" s="273"/>
      <c r="H23" s="273"/>
      <c r="I23" s="273"/>
      <c r="J23" s="273"/>
      <c r="K23" s="273"/>
      <c r="L23" s="273"/>
      <c r="M23" s="273"/>
      <c r="N23" s="273"/>
      <c r="O23" s="274"/>
      <c r="P23" s="275"/>
      <c r="Q23" s="275"/>
      <c r="R23" s="275"/>
      <c r="S23" s="277" t="str">
        <f>IFERROR(VLOOKUP(P23,Naturaleza,2,FALSE)*VLOOKUP('4b. Matriz - Contexto'!Q23,Probabilidad,2,FALSE)*VLOOKUP('4b. Matriz - Contexto'!R23,Severidad,2,FALSE),"")</f>
        <v/>
      </c>
      <c r="T23" s="279" t="str">
        <f t="shared" si="0"/>
        <v/>
      </c>
      <c r="U23" s="276" t="str">
        <f>IFERROR(VLOOKUP(T23,'4a. Parámetros de riesgo'!$C$31:$D$35,2,FALSE),IFERROR(VLOOKUP(T23,'4a. Parámetros de riesgo'!$I$31:$J$35,2,FALSE),""))</f>
        <v/>
      </c>
      <c r="V23" s="278" t="str">
        <f>IFERROR(VLOOKUP(U23,'4a. Parámetros de riesgo'!$D$31:$E$35,2,FALSE),IFERROR(VLOOKUP(U23,'4a. Parámetros de riesgo'!$J$31:$K$35,2,FALSE),""))</f>
        <v/>
      </c>
    </row>
    <row r="24" spans="2:22" ht="78" customHeight="1" x14ac:dyDescent="0.45">
      <c r="B24" s="341" t="s">
        <v>31</v>
      </c>
      <c r="C24" s="342" t="str">
        <f>'2a. Análisis Foda'!L12:L12</f>
        <v>Esquema contractual del personal de Módulos de Atención Ciudadana.</v>
      </c>
      <c r="D24" s="343" t="s">
        <v>117</v>
      </c>
      <c r="E24" s="273"/>
      <c r="F24" s="273"/>
      <c r="G24" s="273"/>
      <c r="H24" s="273"/>
      <c r="I24" s="273"/>
      <c r="J24" s="273"/>
      <c r="K24" s="273"/>
      <c r="L24" s="273"/>
      <c r="M24" s="273"/>
      <c r="N24" s="273"/>
      <c r="O24" s="274"/>
      <c r="P24" s="275"/>
      <c r="Q24" s="275"/>
      <c r="R24" s="275"/>
      <c r="S24" s="277" t="str">
        <f>IFERROR(VLOOKUP(P24,Naturaleza,2,FALSE)*VLOOKUP('4b. Matriz - Contexto'!Q24,Probabilidad,2,FALSE)*VLOOKUP('4b. Matriz - Contexto'!R24,Severidad,2,FALSE),"")</f>
        <v/>
      </c>
      <c r="T24" s="279" t="str">
        <f t="shared" si="0"/>
        <v/>
      </c>
      <c r="U24" s="276" t="str">
        <f>IFERROR(VLOOKUP(T24,'4a. Parámetros de riesgo'!$C$31:$D$35,2,FALSE),IFERROR(VLOOKUP(T24,'4a. Parámetros de riesgo'!$I$31:$J$35,2,FALSE),""))</f>
        <v/>
      </c>
      <c r="V24" s="278" t="str">
        <f>IFERROR(VLOOKUP(U24,'4a. Parámetros de riesgo'!$D$31:$E$35,2,FALSE),IFERROR(VLOOKUP(U24,'4a. Parámetros de riesgo'!$J$31:$K$35,2,FALSE),""))</f>
        <v/>
      </c>
    </row>
    <row r="25" spans="2:22" ht="78" customHeight="1" x14ac:dyDescent="0.45">
      <c r="B25" s="341" t="s">
        <v>31</v>
      </c>
      <c r="C25" s="342" t="str">
        <f>'2a. Análisis Foda'!L13:L13</f>
        <v>Falta de competencias del personal de Módulos de Atención Ciudadana para la atención de situaciones complejas y  no comunes.</v>
      </c>
      <c r="D25" s="343" t="s">
        <v>117</v>
      </c>
      <c r="E25" s="273"/>
      <c r="F25" s="273"/>
      <c r="G25" s="273"/>
      <c r="H25" s="273"/>
      <c r="I25" s="273"/>
      <c r="J25" s="273"/>
      <c r="K25" s="273"/>
      <c r="L25" s="273"/>
      <c r="M25" s="273"/>
      <c r="N25" s="273"/>
      <c r="O25" s="274"/>
      <c r="P25" s="275"/>
      <c r="Q25" s="275"/>
      <c r="R25" s="275"/>
      <c r="S25" s="277" t="str">
        <f>IFERROR(VLOOKUP(P25,Naturaleza,2,FALSE)*VLOOKUP('4b. Matriz - Contexto'!Q25,Probabilidad,2,FALSE)*VLOOKUP('4b. Matriz - Contexto'!R25,Severidad,2,FALSE),"")</f>
        <v/>
      </c>
      <c r="T25" s="279" t="str">
        <f t="shared" si="0"/>
        <v/>
      </c>
      <c r="U25" s="276" t="str">
        <f>IFERROR(VLOOKUP(T25,'4a. Parámetros de riesgo'!$C$31:$D$35,2,FALSE),IFERROR(VLOOKUP(T25,'4a. Parámetros de riesgo'!$I$31:$J$35,2,FALSE),""))</f>
        <v/>
      </c>
      <c r="V25" s="278" t="str">
        <f>IFERROR(VLOOKUP(U25,'4a. Parámetros de riesgo'!$D$31:$E$35,2,FALSE),IFERROR(VLOOKUP(U25,'4a. Parámetros de riesgo'!$J$31:$K$35,2,FALSE),""))</f>
        <v/>
      </c>
    </row>
    <row r="26" spans="2:22" ht="78" customHeight="1" x14ac:dyDescent="0.45">
      <c r="B26" s="341" t="s">
        <v>31</v>
      </c>
      <c r="C26" s="342" t="str">
        <f>'2a. Análisis Foda'!L14:L14</f>
        <v xml:space="preserve">Falta de conocimiento del personal de las funciones de otras áreas de la Institución </v>
      </c>
      <c r="D26" s="343" t="s">
        <v>117</v>
      </c>
      <c r="E26" s="273"/>
      <c r="F26" s="273"/>
      <c r="G26" s="273"/>
      <c r="H26" s="273"/>
      <c r="I26" s="273"/>
      <c r="J26" s="273"/>
      <c r="K26" s="273"/>
      <c r="L26" s="273"/>
      <c r="M26" s="273"/>
      <c r="N26" s="273"/>
      <c r="O26" s="274"/>
      <c r="P26" s="275"/>
      <c r="Q26" s="275"/>
      <c r="R26" s="275"/>
      <c r="S26" s="277" t="str">
        <f>IFERROR(VLOOKUP(P26,Naturaleza,2,FALSE)*VLOOKUP('4b. Matriz - Contexto'!Q26,Probabilidad,2,FALSE)*VLOOKUP('4b. Matriz - Contexto'!R26,Severidad,2,FALSE),"")</f>
        <v/>
      </c>
      <c r="T26" s="279" t="str">
        <f t="shared" si="0"/>
        <v/>
      </c>
      <c r="U26" s="276" t="str">
        <f>IFERROR(VLOOKUP(T26,'4a. Parámetros de riesgo'!$C$31:$D$35,2,FALSE),IFERROR(VLOOKUP(T26,'4a. Parámetros de riesgo'!$I$31:$J$35,2,FALSE),""))</f>
        <v/>
      </c>
      <c r="V26" s="278" t="str">
        <f>IFERROR(VLOOKUP(U26,'4a. Parámetros de riesgo'!$D$31:$E$35,2,FALSE),IFERROR(VLOOKUP(U26,'4a. Parámetros de riesgo'!$J$31:$K$35,2,FALSE),""))</f>
        <v/>
      </c>
    </row>
    <row r="27" spans="2:22" ht="78" customHeight="1" x14ac:dyDescent="0.45">
      <c r="B27" s="341" t="s">
        <v>31</v>
      </c>
      <c r="C27" s="342" t="str">
        <f>'2a. Análisis Foda'!L15:L15</f>
        <v>Incumplimiento de tiempos en la entrega de la Credencia para Votar.</v>
      </c>
      <c r="D27" s="343" t="s">
        <v>117</v>
      </c>
      <c r="E27" s="273"/>
      <c r="F27" s="273"/>
      <c r="G27" s="273"/>
      <c r="H27" s="273"/>
      <c r="I27" s="273"/>
      <c r="J27" s="273"/>
      <c r="K27" s="273"/>
      <c r="L27" s="273"/>
      <c r="M27" s="273"/>
      <c r="N27" s="273"/>
      <c r="O27" s="274"/>
      <c r="P27" s="275"/>
      <c r="Q27" s="275"/>
      <c r="R27" s="275"/>
      <c r="S27" s="277" t="str">
        <f>IFERROR(VLOOKUP(P27,Naturaleza,2,FALSE)*VLOOKUP('4b. Matriz - Contexto'!Q27,Probabilidad,2,FALSE)*VLOOKUP('4b. Matriz - Contexto'!R27,Severidad,2,FALSE),"")</f>
        <v/>
      </c>
      <c r="T27" s="279" t="str">
        <f t="shared" si="0"/>
        <v/>
      </c>
      <c r="U27" s="276" t="str">
        <f>IFERROR(VLOOKUP(T27,'4a. Parámetros de riesgo'!$C$31:$D$35,2,FALSE),IFERROR(VLOOKUP(T27,'4a. Parámetros de riesgo'!$I$31:$J$35,2,FALSE),""))</f>
        <v/>
      </c>
      <c r="V27" s="278" t="str">
        <f>IFERROR(VLOOKUP(U27,'4a. Parámetros de riesgo'!$D$31:$E$35,2,FALSE),IFERROR(VLOOKUP(U27,'4a. Parámetros de riesgo'!$J$31:$K$35,2,FALSE),""))</f>
        <v/>
      </c>
    </row>
    <row r="28" spans="2:22" ht="78" customHeight="1" x14ac:dyDescent="0.45">
      <c r="B28" s="341" t="s">
        <v>31</v>
      </c>
      <c r="C28" s="342" t="str">
        <f>'2a. Análisis Foda'!L16:L16</f>
        <v>Falta de actualizaciones eficientes en el SIIRFE-MAC.</v>
      </c>
      <c r="D28" s="343" t="s">
        <v>117</v>
      </c>
      <c r="E28" s="273"/>
      <c r="F28" s="273"/>
      <c r="G28" s="273"/>
      <c r="H28" s="273"/>
      <c r="I28" s="273"/>
      <c r="J28" s="273"/>
      <c r="K28" s="273"/>
      <c r="L28" s="273"/>
      <c r="M28" s="273"/>
      <c r="N28" s="273"/>
      <c r="O28" s="274"/>
      <c r="P28" s="275"/>
      <c r="Q28" s="275"/>
      <c r="R28" s="275"/>
      <c r="S28" s="277" t="str">
        <f>IFERROR(VLOOKUP(P28,Naturaleza,2,FALSE)*VLOOKUP('4b. Matriz - Contexto'!Q28,Probabilidad,2,FALSE)*VLOOKUP('4b. Matriz - Contexto'!R28,Severidad,2,FALSE),"")</f>
        <v/>
      </c>
      <c r="T28" s="279" t="str">
        <f t="shared" si="0"/>
        <v/>
      </c>
      <c r="U28" s="276" t="str">
        <f>IFERROR(VLOOKUP(T28,'4a. Parámetros de riesgo'!$C$31:$D$35,2,FALSE),IFERROR(VLOOKUP(T28,'4a. Parámetros de riesgo'!$I$31:$J$35,2,FALSE),""))</f>
        <v/>
      </c>
      <c r="V28" s="278" t="str">
        <f>IFERROR(VLOOKUP(U28,'4a. Parámetros de riesgo'!$D$31:$E$35,2,FALSE),IFERROR(VLOOKUP(U28,'4a. Parámetros de riesgo'!$J$31:$K$35,2,FALSE),""))</f>
        <v/>
      </c>
    </row>
    <row r="29" spans="2:22" ht="78" customHeight="1" x14ac:dyDescent="0.45">
      <c r="B29" s="341" t="s">
        <v>31</v>
      </c>
      <c r="C29" s="342" t="str">
        <f>'2a. Análisis Foda'!L17:L17</f>
        <v>Infraestructura insuficiente para la operación de los Módulos de Atención Ciudadana AC (humanos, materiales y financieros).</v>
      </c>
      <c r="D29" s="343" t="s">
        <v>117</v>
      </c>
      <c r="E29" s="273"/>
      <c r="F29" s="273"/>
      <c r="G29" s="273"/>
      <c r="H29" s="273"/>
      <c r="I29" s="273"/>
      <c r="J29" s="273"/>
      <c r="K29" s="273"/>
      <c r="L29" s="273"/>
      <c r="M29" s="273"/>
      <c r="N29" s="273"/>
      <c r="O29" s="274"/>
      <c r="P29" s="275"/>
      <c r="Q29" s="275"/>
      <c r="R29" s="275"/>
      <c r="S29" s="277" t="str">
        <f>IFERROR(VLOOKUP(P29,Naturaleza,2,FALSE)*VLOOKUP('4b. Matriz - Contexto'!Q29,Probabilidad,2,FALSE)*VLOOKUP('4b. Matriz - Contexto'!R29,Severidad,2,FALSE),"")</f>
        <v/>
      </c>
      <c r="T29" s="279" t="str">
        <f t="shared" si="0"/>
        <v/>
      </c>
      <c r="U29" s="276" t="str">
        <f>IFERROR(VLOOKUP(T29,'4a. Parámetros de riesgo'!$C$31:$D$35,2,FALSE),IFERROR(VLOOKUP(T29,'4a. Parámetros de riesgo'!$I$31:$J$35,2,FALSE),""))</f>
        <v/>
      </c>
      <c r="V29" s="278" t="str">
        <f>IFERROR(VLOOKUP(U29,'4a. Parámetros de riesgo'!$D$31:$E$35,2,FALSE),IFERROR(VLOOKUP(U29,'4a. Parámetros de riesgo'!$J$31:$K$35,2,FALSE),""))</f>
        <v/>
      </c>
    </row>
    <row r="30" spans="2:22" ht="78" customHeight="1" x14ac:dyDescent="0.45">
      <c r="B30" s="341" t="s">
        <v>31</v>
      </c>
      <c r="C30" s="342" t="str">
        <f>'2a. Análisis Foda'!L18:L18</f>
        <v>Falta de compatibilidad de normas administrativas con operativas.</v>
      </c>
      <c r="D30" s="343" t="s">
        <v>117</v>
      </c>
      <c r="E30" s="273"/>
      <c r="F30" s="273"/>
      <c r="G30" s="273"/>
      <c r="H30" s="273"/>
      <c r="I30" s="273"/>
      <c r="J30" s="273"/>
      <c r="K30" s="273"/>
      <c r="L30" s="273"/>
      <c r="M30" s="273"/>
      <c r="N30" s="273"/>
      <c r="O30" s="274"/>
      <c r="P30" s="275"/>
      <c r="Q30" s="275"/>
      <c r="R30" s="275"/>
      <c r="S30" s="277" t="str">
        <f>IFERROR(VLOOKUP(P30,Naturaleza,2,FALSE)*VLOOKUP('4b. Matriz - Contexto'!Q30,Probabilidad,2,FALSE)*VLOOKUP('4b. Matriz - Contexto'!R30,Severidad,2,FALSE),"")</f>
        <v/>
      </c>
      <c r="T30" s="279" t="str">
        <f t="shared" si="0"/>
        <v/>
      </c>
      <c r="U30" s="276" t="str">
        <f>IFERROR(VLOOKUP(T30,'4a. Parámetros de riesgo'!$C$31:$D$35,2,FALSE),IFERROR(VLOOKUP(T30,'4a. Parámetros de riesgo'!$I$31:$J$35,2,FALSE),""))</f>
        <v/>
      </c>
      <c r="V30" s="278" t="str">
        <f>IFERROR(VLOOKUP(U30,'4a. Parámetros de riesgo'!$D$31:$E$35,2,FALSE),IFERROR(VLOOKUP(U30,'4a. Parámetros de riesgo'!$J$31:$K$35,2,FALSE),""))</f>
        <v/>
      </c>
    </row>
    <row r="31" spans="2:22" ht="78" customHeight="1" x14ac:dyDescent="0.45">
      <c r="B31" s="341" t="s">
        <v>31</v>
      </c>
      <c r="C31" s="342" t="str">
        <f>'2a. Análisis Foda'!L19:L19</f>
        <v>Desconocimiento de la misión, visión y objetivos Institucionales por parte del personal.</v>
      </c>
      <c r="D31" s="343" t="s">
        <v>117</v>
      </c>
      <c r="E31" s="273"/>
      <c r="F31" s="273"/>
      <c r="G31" s="273"/>
      <c r="H31" s="273"/>
      <c r="I31" s="273"/>
      <c r="J31" s="273"/>
      <c r="K31" s="273"/>
      <c r="L31" s="273"/>
      <c r="M31" s="273"/>
      <c r="N31" s="273"/>
      <c r="O31" s="274"/>
      <c r="P31" s="275"/>
      <c r="Q31" s="275"/>
      <c r="R31" s="275"/>
      <c r="S31" s="277" t="str">
        <f>IFERROR(VLOOKUP(P31,Naturaleza,2,FALSE)*VLOOKUP('4b. Matriz - Contexto'!Q31,Probabilidad,2,FALSE)*VLOOKUP('4b. Matriz - Contexto'!R31,Severidad,2,FALSE),"")</f>
        <v/>
      </c>
      <c r="T31" s="279" t="str">
        <f t="shared" si="0"/>
        <v/>
      </c>
      <c r="U31" s="276" t="str">
        <f>IFERROR(VLOOKUP(T31,'4a. Parámetros de riesgo'!$C$31:$D$35,2,FALSE),IFERROR(VLOOKUP(T31,'4a. Parámetros de riesgo'!$I$31:$J$35,2,FALSE),""))</f>
        <v/>
      </c>
      <c r="V31" s="278" t="str">
        <f>IFERROR(VLOOKUP(U31,'4a. Parámetros de riesgo'!$D$31:$E$35,2,FALSE),IFERROR(VLOOKUP(U31,'4a. Parámetros de riesgo'!$J$31:$K$35,2,FALSE),""))</f>
        <v/>
      </c>
    </row>
    <row r="32" spans="2:22" ht="70.5" customHeight="1" x14ac:dyDescent="0.45">
      <c r="B32" s="341" t="s">
        <v>32</v>
      </c>
      <c r="C32" s="342" t="str">
        <f>'2a. Análisis Foda'!B35:B35</f>
        <v>Los recortes presupuestales afectan la operación de los proyectos del Registro Federal de Electores.</v>
      </c>
      <c r="D32" s="343" t="s">
        <v>117</v>
      </c>
      <c r="E32" s="273"/>
      <c r="F32" s="273"/>
      <c r="G32" s="273"/>
      <c r="H32" s="273"/>
      <c r="I32" s="273"/>
      <c r="J32" s="273"/>
      <c r="K32" s="273"/>
      <c r="L32" s="273"/>
      <c r="M32" s="273"/>
      <c r="N32" s="273"/>
      <c r="O32" s="274"/>
      <c r="P32" s="275"/>
      <c r="Q32" s="275"/>
      <c r="R32" s="275"/>
      <c r="S32" s="277" t="str">
        <f>IFERROR(VLOOKUP(P32,Naturaleza,2,FALSE)*VLOOKUP('4b. Matriz - Contexto'!Q32,Probabilidad,2,FALSE)*VLOOKUP('4b. Matriz - Contexto'!R32,Severidad,2,FALSE),"")</f>
        <v/>
      </c>
      <c r="T32" s="279" t="str">
        <f t="shared" si="0"/>
        <v/>
      </c>
      <c r="U32" s="276" t="str">
        <f>IFERROR(VLOOKUP(T32,'4a. Parámetros de riesgo'!$C$31:$D$35,2,FALSE),IFERROR(VLOOKUP(T32,'4a. Parámetros de riesgo'!$I$31:$J$35,2,FALSE),""))</f>
        <v/>
      </c>
      <c r="V32" s="278" t="str">
        <f>IFERROR(VLOOKUP(U32,'4a. Parámetros de riesgo'!$D$31:$E$35,2,FALSE),IFERROR(VLOOKUP(U32,'4a. Parámetros de riesgo'!$J$31:$K$35,2,FALSE),""))</f>
        <v/>
      </c>
    </row>
    <row r="33" spans="2:22" ht="99" customHeight="1" x14ac:dyDescent="0.45">
      <c r="B33" s="341" t="s">
        <v>32</v>
      </c>
      <c r="C33" s="342" t="str">
        <f>'2a. Análisis Foda'!B36:B36</f>
        <v>Falta de medidas de control de las Dependencias que emiten documentos de identidad que provocan registros irregulares y/o duplicados.</v>
      </c>
      <c r="D33" s="343" t="s">
        <v>117</v>
      </c>
      <c r="E33" s="280"/>
      <c r="F33" s="280"/>
      <c r="G33" s="280"/>
      <c r="H33" s="280"/>
      <c r="I33" s="280"/>
      <c r="J33" s="280"/>
      <c r="K33" s="280"/>
      <c r="L33" s="280"/>
      <c r="M33" s="280"/>
      <c r="N33" s="280"/>
      <c r="O33" s="281"/>
      <c r="P33" s="275"/>
      <c r="Q33" s="275"/>
      <c r="R33" s="275"/>
      <c r="S33" s="277" t="str">
        <f>IFERROR(VLOOKUP(P33,Naturaleza,2,FALSE)*VLOOKUP('4b. Matriz - Contexto'!Q33,Probabilidad,2,FALSE)*VLOOKUP('4b. Matriz - Contexto'!R33,Severidad,2,FALSE),"")</f>
        <v/>
      </c>
      <c r="T33" s="279" t="str">
        <f t="shared" si="0"/>
        <v/>
      </c>
      <c r="U33" s="276" t="str">
        <f>IFERROR(VLOOKUP(T33,'4a. Parámetros de riesgo'!$C$31:$D$35,2,FALSE),IFERROR(VLOOKUP(T33,'4a. Parámetros de riesgo'!$I$31:$J$35,2,FALSE),""))</f>
        <v/>
      </c>
      <c r="V33" s="278" t="str">
        <f>IFERROR(VLOOKUP(U33,'4a. Parámetros de riesgo'!$D$31:$E$35,2,FALSE),IFERROR(VLOOKUP(U33,'4a. Parámetros de riesgo'!$J$31:$K$35,2,FALSE),""))</f>
        <v/>
      </c>
    </row>
    <row r="34" spans="2:22" ht="81" customHeight="1" x14ac:dyDescent="0.45">
      <c r="B34" s="341" t="s">
        <v>32</v>
      </c>
      <c r="C34" s="342" t="str">
        <f>'2a. Análisis Foda'!B37:B37</f>
        <v>Condiciones de inseguridad en zonas identificadas de alto riesgo para la operación de los Módulos de Atención Ciudadana.</v>
      </c>
      <c r="D34" s="343" t="s">
        <v>117</v>
      </c>
      <c r="E34" s="280"/>
      <c r="F34" s="280"/>
      <c r="G34" s="280"/>
      <c r="H34" s="280"/>
      <c r="I34" s="280"/>
      <c r="J34" s="280"/>
      <c r="K34" s="280"/>
      <c r="L34" s="280"/>
      <c r="M34" s="280"/>
      <c r="N34" s="280"/>
      <c r="O34" s="281"/>
      <c r="P34" s="275"/>
      <c r="Q34" s="275"/>
      <c r="R34" s="275"/>
      <c r="S34" s="277" t="str">
        <f>IFERROR(VLOOKUP(P34,Naturaleza,2,FALSE)*VLOOKUP('4b. Matriz - Contexto'!Q34,Probabilidad,2,FALSE)*VLOOKUP('4b. Matriz - Contexto'!R34,Severidad,2,FALSE),"")</f>
        <v/>
      </c>
      <c r="T34" s="279" t="str">
        <f t="shared" si="0"/>
        <v/>
      </c>
      <c r="U34" s="276" t="str">
        <f>IFERROR(VLOOKUP(T34,'4a. Parámetros de riesgo'!$C$31:$D$35,2,FALSE),IFERROR(VLOOKUP(T34,'4a. Parámetros de riesgo'!$I$31:$J$35,2,FALSE),""))</f>
        <v/>
      </c>
      <c r="V34" s="278" t="str">
        <f>IFERROR(VLOOKUP(U34,'4a. Parámetros de riesgo'!$D$31:$E$35,2,FALSE),IFERROR(VLOOKUP(U34,'4a. Parámetros de riesgo'!$J$31:$K$35,2,FALSE),""))</f>
        <v/>
      </c>
    </row>
    <row r="35" spans="2:22" ht="84" customHeight="1" x14ac:dyDescent="0.45">
      <c r="B35" s="341" t="s">
        <v>32</v>
      </c>
      <c r="C35" s="342" t="str">
        <f>'2a. Análisis Foda'!B38:B38</f>
        <v>Pérdida de interés de la credencial para votar como documento de identidad ante la potencial existencia de la cédula de identidad.</v>
      </c>
      <c r="D35" s="343" t="s">
        <v>117</v>
      </c>
      <c r="E35" s="280"/>
      <c r="F35" s="280"/>
      <c r="G35" s="280"/>
      <c r="H35" s="280"/>
      <c r="I35" s="280"/>
      <c r="J35" s="280"/>
      <c r="K35" s="280"/>
      <c r="L35" s="280"/>
      <c r="M35" s="280"/>
      <c r="N35" s="280"/>
      <c r="O35" s="281"/>
      <c r="P35" s="275"/>
      <c r="Q35" s="275"/>
      <c r="R35" s="275"/>
      <c r="S35" s="277" t="str">
        <f>IFERROR(VLOOKUP(P35,Naturaleza,2,FALSE)*VLOOKUP('4b. Matriz - Contexto'!Q35,Probabilidad,2,FALSE)*VLOOKUP('4b. Matriz - Contexto'!R35,Severidad,2,FALSE),"")</f>
        <v/>
      </c>
      <c r="T35" s="279" t="str">
        <f t="shared" si="0"/>
        <v/>
      </c>
      <c r="U35" s="276" t="str">
        <f>IFERROR(VLOOKUP(T35,'4a. Parámetros de riesgo'!$C$31:$D$35,2,FALSE),IFERROR(VLOOKUP(T35,'4a. Parámetros de riesgo'!$I$31:$J$35,2,FALSE),""))</f>
        <v/>
      </c>
      <c r="V35" s="278" t="str">
        <f>IFERROR(VLOOKUP(U35,'4a. Parámetros de riesgo'!$D$31:$E$35,2,FALSE),IFERROR(VLOOKUP(U35,'4a. Parámetros de riesgo'!$J$31:$K$35,2,FALSE),""))</f>
        <v/>
      </c>
    </row>
    <row r="36" spans="2:22" ht="57" customHeight="1" x14ac:dyDescent="0.45">
      <c r="B36" s="341" t="s">
        <v>32</v>
      </c>
      <c r="C36" s="342" t="str">
        <f>'2a. Análisis Foda'!B39:B39</f>
        <v xml:space="preserve">La confianza institucional disminuye por declaraciones negativas de actores políticos. </v>
      </c>
      <c r="D36" s="343" t="s">
        <v>117</v>
      </c>
      <c r="E36" s="280"/>
      <c r="F36" s="280"/>
      <c r="G36" s="280"/>
      <c r="H36" s="280"/>
      <c r="I36" s="280"/>
      <c r="J36" s="280"/>
      <c r="K36" s="280"/>
      <c r="L36" s="280"/>
      <c r="M36" s="280"/>
      <c r="N36" s="280"/>
      <c r="O36" s="281"/>
      <c r="P36" s="275"/>
      <c r="Q36" s="275"/>
      <c r="R36" s="275"/>
      <c r="S36" s="277" t="str">
        <f>IFERROR(VLOOKUP(P36,Naturaleza,2,FALSE)*VLOOKUP('4b. Matriz - Contexto'!Q36,Probabilidad,2,FALSE)*VLOOKUP('4b. Matriz - Contexto'!R36,Severidad,2,FALSE),"")</f>
        <v/>
      </c>
      <c r="T36" s="279" t="str">
        <f t="shared" si="0"/>
        <v/>
      </c>
      <c r="U36" s="276" t="str">
        <f>IFERROR(VLOOKUP(T36,'4a. Parámetros de riesgo'!$C$31:$D$35,2,FALSE),IFERROR(VLOOKUP(T36,'4a. Parámetros de riesgo'!$I$31:$J$35,2,FALSE),""))</f>
        <v/>
      </c>
      <c r="V36" s="278" t="str">
        <f>IFERROR(VLOOKUP(U36,'4a. Parámetros de riesgo'!$D$31:$E$35,2,FALSE),IFERROR(VLOOKUP(U36,'4a. Parámetros de riesgo'!$J$31:$K$35,2,FALSE),""))</f>
        <v/>
      </c>
    </row>
    <row r="37" spans="2:22" ht="123" customHeight="1" x14ac:dyDescent="0.45">
      <c r="B37" s="341" t="s">
        <v>32</v>
      </c>
      <c r="C37" s="342" t="str">
        <f>'2a. Análisis Foda'!B40:B40</f>
        <v>El uso de las redes sociales para campañas negativas hacia el Instituto por medio de: fake news, boots y trolls, influye de manera negativa en la percepción Ciudadana sobre el desempeño Institucional.</v>
      </c>
      <c r="D37" s="343" t="s">
        <v>117</v>
      </c>
      <c r="E37" s="280"/>
      <c r="F37" s="280"/>
      <c r="G37" s="280"/>
      <c r="H37" s="280"/>
      <c r="I37" s="280"/>
      <c r="J37" s="280"/>
      <c r="K37" s="280"/>
      <c r="L37" s="280"/>
      <c r="M37" s="280"/>
      <c r="N37" s="280"/>
      <c r="O37" s="281"/>
      <c r="P37" s="275"/>
      <c r="Q37" s="275"/>
      <c r="R37" s="275"/>
      <c r="S37" s="277" t="str">
        <f>IFERROR(VLOOKUP(P37,Naturaleza,2,FALSE)*VLOOKUP('4b. Matriz - Contexto'!Q37,Probabilidad,2,FALSE)*VLOOKUP('4b. Matriz - Contexto'!R37,Severidad,2,FALSE),"")</f>
        <v/>
      </c>
      <c r="T37" s="279" t="str">
        <f t="shared" ref="T37:T41" si="1">IF(B37="Debilidad",IF(S37="","",IF(AND(S37&gt;0,S37&lt;200),"Trivial",IF(OR(S37=200,AND(S37&gt;200,S37&lt;400)),"Tolerable",IF(OR(S37=400,AND(S37&gt;400,S37&lt;600)),"Moderado",IF(OR(S37=600,AND(S37&gt;600,S37&lt;800)),"Importante",IF(OR(S37=800,S37&gt;800,S37&lt;1000,S37=1000),"Intolerable","")))))),IF(B37="Amenaza",IF(S37="","",IF(AND(S37&gt;0,S37&lt;200),"Trivial",IF(OR(S37=200,AND(S37&gt;200,S37&lt;400)),"Tolerable",IF(OR(S37=400,AND(S37&gt;400,S37&lt;600)),"Moderado",IF(OR(S37=600,AND(S37&gt;600,S37&lt;800)),"Importante",IF(OR(S37=800,S37&gt;800,S37&lt;1000,S37=1000),"Intolerable","")))))),IF(B37="Fortaleza",IF(S37="","",IF(AND(S37&gt;0,S37&lt;250),"Limitada",IF(OR(S37=250,AND(S37&gt;250,S37&lt;500)),"Media",IF(OR(S37=500,AND(S37&gt;500,S37&lt;750)),"Potencial",IF(OR(S37=750,AND(S37&gt;750,S37&lt;=1000)),"Sobresaliente", ""))))), IF(B37="Oportunidad",IF(S37="","",IF(AND(S37&gt;0,S37&lt;250),"Limitada",IF(OR(S37=250,AND(S37&gt;250,S37&lt;500)),"Media",IF(OR(S37=500,AND(S37&gt;500,S37&lt;750)),"Potencial",IF(OR(S37=750,AND(S37&gt;750,S37&lt;=1000)),"Sobresaliente",""))))),""))))</f>
        <v/>
      </c>
      <c r="U37" s="276" t="str">
        <f>IFERROR(VLOOKUP(T37,'4a. Parámetros de riesgo'!$C$31:$D$35,2,FALSE),IFERROR(VLOOKUP(T37,'4a. Parámetros de riesgo'!$I$31:$J$35,2,FALSE),""))</f>
        <v/>
      </c>
      <c r="V37" s="278" t="str">
        <f>IFERROR(VLOOKUP(U37,'4a. Parámetros de riesgo'!$D$31:$E$35,2,FALSE),IFERROR(VLOOKUP(U37,'4a. Parámetros de riesgo'!$J$31:$K$35,2,FALSE),""))</f>
        <v/>
      </c>
    </row>
    <row r="38" spans="2:22" ht="87" customHeight="1" x14ac:dyDescent="0.45">
      <c r="B38" s="341" t="s">
        <v>32</v>
      </c>
      <c r="C38" s="342" t="str">
        <f>'2a. Análisis Foda'!B41:B41</f>
        <v>Falta de servicios públicos y vías de comunicación en zonas de difícil acceso que repercuten en la adecuada atención a la ciudadanía.</v>
      </c>
      <c r="D38" s="343" t="s">
        <v>117</v>
      </c>
      <c r="E38" s="280"/>
      <c r="F38" s="280"/>
      <c r="G38" s="280"/>
      <c r="H38" s="280"/>
      <c r="I38" s="280"/>
      <c r="J38" s="280"/>
      <c r="K38" s="280"/>
      <c r="L38" s="280"/>
      <c r="M38" s="280"/>
      <c r="N38" s="280"/>
      <c r="O38" s="281"/>
      <c r="P38" s="275"/>
      <c r="Q38" s="275"/>
      <c r="R38" s="275"/>
      <c r="S38" s="277" t="str">
        <f>IFERROR(VLOOKUP(P38,Naturaleza,2,FALSE)*VLOOKUP('4b. Matriz - Contexto'!Q38,Probabilidad,2,FALSE)*VLOOKUP('4b. Matriz - Contexto'!R38,Severidad,2,FALSE),"")</f>
        <v/>
      </c>
      <c r="T38" s="279" t="str">
        <f t="shared" si="1"/>
        <v/>
      </c>
      <c r="U38" s="276" t="str">
        <f>IFERROR(VLOOKUP(T38,'4a. Parámetros de riesgo'!$C$31:$D$35,2,FALSE),IFERROR(VLOOKUP(T38,'4a. Parámetros de riesgo'!$I$31:$J$35,2,FALSE),""))</f>
        <v/>
      </c>
      <c r="V38" s="278" t="str">
        <f>IFERROR(VLOOKUP(U38,'4a. Parámetros de riesgo'!$D$31:$E$35,2,FALSE),IFERROR(VLOOKUP(U38,'4a. Parámetros de riesgo'!$J$31:$K$35,2,FALSE),""))</f>
        <v/>
      </c>
    </row>
    <row r="39" spans="2:22" ht="70.5" customHeight="1" x14ac:dyDescent="0.45">
      <c r="B39" s="341" t="s">
        <v>32</v>
      </c>
      <c r="C39" s="342" t="str">
        <f>'2a. Análisis Foda'!B42:B42</f>
        <v>Fenómenos naturales (sismos, huracanes, etc.) que afectan el cumplimiento en la programación de los módulos de atención ciudadana.</v>
      </c>
      <c r="D39" s="343" t="s">
        <v>117</v>
      </c>
      <c r="E39" s="280"/>
      <c r="F39" s="280"/>
      <c r="G39" s="280"/>
      <c r="H39" s="280"/>
      <c r="I39" s="280"/>
      <c r="J39" s="280"/>
      <c r="K39" s="280"/>
      <c r="L39" s="280"/>
      <c r="M39" s="280"/>
      <c r="N39" s="280"/>
      <c r="O39" s="281"/>
      <c r="P39" s="275"/>
      <c r="Q39" s="275"/>
      <c r="R39" s="275"/>
      <c r="S39" s="277" t="str">
        <f>IFERROR(VLOOKUP(P39,Naturaleza,2,FALSE)*VLOOKUP('4b. Matriz - Contexto'!Q39,Probabilidad,2,FALSE)*VLOOKUP('4b. Matriz - Contexto'!R39,Severidad,2,FALSE),"")</f>
        <v/>
      </c>
      <c r="T39" s="279" t="str">
        <f t="shared" si="1"/>
        <v/>
      </c>
      <c r="U39" s="276" t="str">
        <f>IFERROR(VLOOKUP(T39,'4a. Parámetros de riesgo'!$C$31:$D$35,2,FALSE),IFERROR(VLOOKUP(T39,'4a. Parámetros de riesgo'!$I$31:$J$35,2,FALSE),""))</f>
        <v/>
      </c>
      <c r="V39" s="278" t="str">
        <f>IFERROR(VLOOKUP(U39,'4a. Parámetros de riesgo'!$D$31:$E$35,2,FALSE),IFERROR(VLOOKUP(U39,'4a. Parámetros de riesgo'!$J$31:$K$35,2,FALSE),""))</f>
        <v/>
      </c>
    </row>
    <row r="40" spans="2:22" ht="105" customHeight="1" x14ac:dyDescent="0.45">
      <c r="B40" s="341" t="s">
        <v>32</v>
      </c>
      <c r="C40" s="342" t="str">
        <f>'2a. Análisis Foda'!B43:B43</f>
        <v>Falta de disponibilidad inmobiliaria que cumpla con los requisitos legales y físicos para arrendamiento de los Módulos de Atención Ciudadana, Junta local Ejecutiva y Junta Distrital Ejecutiva.</v>
      </c>
      <c r="D40" s="343" t="s">
        <v>117</v>
      </c>
      <c r="E40" s="280"/>
      <c r="F40" s="280"/>
      <c r="G40" s="280"/>
      <c r="H40" s="280"/>
      <c r="I40" s="280"/>
      <c r="J40" s="280"/>
      <c r="K40" s="280"/>
      <c r="L40" s="280"/>
      <c r="M40" s="280"/>
      <c r="N40" s="280"/>
      <c r="O40" s="281"/>
      <c r="P40" s="275"/>
      <c r="Q40" s="275"/>
      <c r="R40" s="275"/>
      <c r="S40" s="277" t="str">
        <f>IFERROR(VLOOKUP(P40,Naturaleza,2,FALSE)*VLOOKUP('4b. Matriz - Contexto'!Q40,Probabilidad,2,FALSE)*VLOOKUP('4b. Matriz - Contexto'!R40,Severidad,2,FALSE),"")</f>
        <v/>
      </c>
      <c r="T40" s="279" t="str">
        <f t="shared" si="1"/>
        <v/>
      </c>
      <c r="U40" s="276" t="str">
        <f>IFERROR(VLOOKUP(T40,'4a. Parámetros de riesgo'!$C$31:$D$35,2,FALSE),IFERROR(VLOOKUP(T40,'4a. Parámetros de riesgo'!$I$31:$J$35,2,FALSE),""))</f>
        <v/>
      </c>
      <c r="V40" s="278" t="str">
        <f>IFERROR(VLOOKUP(U40,'4a. Parámetros de riesgo'!$D$31:$E$35,2,FALSE),IFERROR(VLOOKUP(U40,'4a. Parámetros de riesgo'!$J$31:$K$35,2,FALSE),""))</f>
        <v/>
      </c>
    </row>
    <row r="41" spans="2:22" ht="91.5" customHeight="1" x14ac:dyDescent="0.45">
      <c r="B41" s="341" t="s">
        <v>32</v>
      </c>
      <c r="C41" s="342" t="str">
        <f>'2a. Análisis Foda'!B44:B44</f>
        <v>Incumplimiento de las empresas prestadoras de servicios para la distribución de credenciales para votar a los Módulos de Atención Ciudadana.</v>
      </c>
      <c r="D41" s="343" t="s">
        <v>117</v>
      </c>
      <c r="E41" s="280"/>
      <c r="F41" s="280"/>
      <c r="G41" s="280"/>
      <c r="H41" s="280"/>
      <c r="I41" s="280"/>
      <c r="J41" s="280"/>
      <c r="K41" s="280"/>
      <c r="L41" s="280"/>
      <c r="M41" s="280"/>
      <c r="N41" s="280"/>
      <c r="O41" s="281"/>
      <c r="P41" s="275"/>
      <c r="Q41" s="275"/>
      <c r="R41" s="275"/>
      <c r="S41" s="277" t="str">
        <f>IFERROR(VLOOKUP(P41,Naturaleza,2,FALSE)*VLOOKUP('4b. Matriz - Contexto'!Q41,Probabilidad,2,FALSE)*VLOOKUP('4b. Matriz - Contexto'!R41,Severidad,2,FALSE),"")</f>
        <v/>
      </c>
      <c r="T41" s="279" t="str">
        <f t="shared" si="1"/>
        <v/>
      </c>
      <c r="U41" s="276" t="str">
        <f>IFERROR(VLOOKUP(T41,'4a. Parámetros de riesgo'!$C$31:$D$35,2,FALSE),IFERROR(VLOOKUP(T41,'4a. Parámetros de riesgo'!$I$31:$J$35,2,FALSE),""))</f>
        <v/>
      </c>
      <c r="V41" s="278" t="str">
        <f>IFERROR(VLOOKUP(U41,'4a. Parámetros de riesgo'!$D$31:$E$35,2,FALSE),IFERROR(VLOOKUP(U41,'4a. Parámetros de riesgo'!$J$31:$K$35,2,FALSE),""))</f>
        <v/>
      </c>
    </row>
    <row r="42" spans="2:22" ht="97.5" customHeight="1" x14ac:dyDescent="0.45">
      <c r="B42" s="341" t="s">
        <v>30</v>
      </c>
      <c r="C42" s="342" t="str">
        <f>'2a. Análisis Foda'!L35:L35</f>
        <v>Fortalecer el  uso de los medios de comunicación para informar a la ciudadanía sobre los requisitos  para el trámite de la Credencia para Votar.</v>
      </c>
      <c r="D42" s="343" t="s">
        <v>74</v>
      </c>
      <c r="E42" s="280"/>
      <c r="F42" s="280"/>
      <c r="G42" s="280"/>
      <c r="H42" s="280"/>
      <c r="I42" s="280"/>
      <c r="J42" s="280"/>
      <c r="K42" s="280"/>
      <c r="L42" s="280"/>
      <c r="M42" s="280"/>
      <c r="N42" s="280"/>
      <c r="O42" s="281"/>
      <c r="P42" s="275"/>
      <c r="Q42" s="275"/>
      <c r="R42" s="275"/>
      <c r="S42" s="277" t="str">
        <f>IFERROR(VLOOKUP(P42,Naturaleza,2,FALSE)*VLOOKUP('4b. Matriz - Contexto'!Q42,Probabilidad,2,FALSE)*VLOOKUP('4b. Matriz - Contexto'!R42,Severidad,2,FALSE),"")</f>
        <v/>
      </c>
      <c r="T42" s="279" t="str">
        <f t="shared" ref="T42:T51" si="2">IF(B45="Debilidad",IF(S42="","",IF(AND(S42&gt;0,S42&lt;200),"Trivial",IF(OR(S42=200,AND(S42&gt;200,S42&lt;400)),"Tolerable",IF(OR(S42=400,AND(S42&gt;400,S42&lt;600)),"Moderado",IF(OR(S42=600,AND(S42&gt;600,S42&lt;800)),"Importante",IF(OR(S42=800,S42&gt;800,S42&lt;1000,S42=1000),"Intolerable","")))))),IF(B45="Amenaza",IF(S42="","",IF(AND(S42&gt;0,S42&lt;200),"Trivial",IF(OR(S42=200,AND(S42&gt;200,S42&lt;400)),"Tolerable",IF(OR(S42=400,AND(S42&gt;400,S42&lt;600)),"Moderado",IF(OR(S42=600,AND(S42&gt;600,S42&lt;800)),"Importante",IF(OR(S42=800,S42&gt;800,S42&lt;1000,S42=1000),"Intolerable","")))))),IF(B45="Fortaleza",IF(S42="","",IF(AND(S42&gt;0,S42&lt;250),"Limitada",IF(OR(S42=250,AND(S42&gt;250,S42&lt;500)),"Media",IF(OR(S42=500,AND(S42&gt;500,S42&lt;750)),"Potencial",IF(OR(S42=750,AND(S42&gt;750,S42&lt;=1000)),"Sobresaliente", ""))))), IF(B45="Oportunidad",IF(S42="","",IF(AND(S42&gt;0,S42&lt;250),"Limitada",IF(OR(S42=250,AND(S42&gt;250,S42&lt;500)),"Media",IF(OR(S42=500,AND(S42&gt;500,S42&lt;750)),"Potencial",IF(OR(S42=750,AND(S42&gt;750,S42&lt;=1000)),"Sobresaliente",""))))),""))))</f>
        <v/>
      </c>
      <c r="U42" s="276" t="str">
        <f>IFERROR(VLOOKUP(T42,'4a. Parámetros de riesgo'!$C$31:$D$35,2,FALSE),IFERROR(VLOOKUP(T42,'4a. Parámetros de riesgo'!$I$31:$J$35,2,FALSE),""))</f>
        <v/>
      </c>
      <c r="V42" s="278" t="str">
        <f>IFERROR(VLOOKUP(U42,'4a. Parámetros de riesgo'!$D$31:$E$35,2,FALSE),IFERROR(VLOOKUP(U42,'4a. Parámetros de riesgo'!$J$31:$K$35,2,FALSE),""))</f>
        <v/>
      </c>
    </row>
    <row r="43" spans="2:22" ht="106.5" customHeight="1" x14ac:dyDescent="0.45">
      <c r="B43" s="341" t="s">
        <v>30</v>
      </c>
      <c r="C43" s="342" t="str">
        <f>'2a. Análisis Foda'!L36:L36</f>
        <v>Dotación de recursos para la operación del Módulo de Atención Ciudadana encargado de dar cumplimiento a solicitudes de incorporación al padrón por artículo 141.</v>
      </c>
      <c r="D43" s="343" t="s">
        <v>74</v>
      </c>
      <c r="E43" s="280"/>
      <c r="F43" s="280"/>
      <c r="G43" s="280"/>
      <c r="H43" s="280"/>
      <c r="I43" s="280"/>
      <c r="J43" s="280"/>
      <c r="K43" s="280"/>
      <c r="L43" s="280"/>
      <c r="M43" s="280"/>
      <c r="N43" s="280"/>
      <c r="O43" s="281"/>
      <c r="P43" s="275"/>
      <c r="Q43" s="275"/>
      <c r="R43" s="275"/>
      <c r="S43" s="277" t="str">
        <f>IFERROR(VLOOKUP(P43,Naturaleza,2,FALSE)*VLOOKUP('4b. Matriz - Contexto'!Q43,Probabilidad,2,FALSE)*VLOOKUP('4b. Matriz - Contexto'!R43,Severidad,2,FALSE),"")</f>
        <v/>
      </c>
      <c r="T43" s="279" t="str">
        <f t="shared" si="2"/>
        <v/>
      </c>
      <c r="U43" s="276" t="str">
        <f>IFERROR(VLOOKUP(T43,'4a. Parámetros de riesgo'!$C$31:$D$35,2,FALSE),IFERROR(VLOOKUP(T43,'4a. Parámetros de riesgo'!$I$31:$J$35,2,FALSE),""))</f>
        <v/>
      </c>
      <c r="V43" s="278" t="str">
        <f>IFERROR(VLOOKUP(U43,'4a. Parámetros de riesgo'!$D$31:$E$35,2,FALSE),IFERROR(VLOOKUP(U43,'4a. Parámetros de riesgo'!$J$31:$K$35,2,FALSE),""))</f>
        <v/>
      </c>
    </row>
    <row r="44" spans="2:22" ht="91.5" customHeight="1" x14ac:dyDescent="0.45">
      <c r="B44" s="341" t="s">
        <v>30</v>
      </c>
      <c r="C44" s="342" t="str">
        <f>'2a. Análisis Foda'!L37:L37</f>
        <v>Aprovechar el reconocimiento de la credencial para votar como medio de identificación confiable, para formalizar alianzas con otras Instituciones.</v>
      </c>
      <c r="D44" s="343" t="s">
        <v>74</v>
      </c>
      <c r="E44" s="280"/>
      <c r="F44" s="280"/>
      <c r="G44" s="280"/>
      <c r="H44" s="280"/>
      <c r="I44" s="280"/>
      <c r="J44" s="280"/>
      <c r="K44" s="280"/>
      <c r="L44" s="280"/>
      <c r="M44" s="280"/>
      <c r="N44" s="280"/>
      <c r="O44" s="281"/>
      <c r="P44" s="275"/>
      <c r="Q44" s="275"/>
      <c r="R44" s="275"/>
      <c r="S44" s="277" t="str">
        <f>IFERROR(VLOOKUP(P44,Naturaleza,2,FALSE)*VLOOKUP('4b. Matriz - Contexto'!Q44,Probabilidad,2,FALSE)*VLOOKUP('4b. Matriz - Contexto'!R44,Severidad,2,FALSE),"")</f>
        <v/>
      </c>
      <c r="T44" s="279" t="str">
        <f t="shared" si="2"/>
        <v/>
      </c>
      <c r="U44" s="276" t="str">
        <f>IFERROR(VLOOKUP(T44,'4a. Parámetros de riesgo'!$C$31:$D$35,2,FALSE),IFERROR(VLOOKUP(T44,'4a. Parámetros de riesgo'!$I$31:$J$35,2,FALSE),""))</f>
        <v/>
      </c>
      <c r="V44" s="278" t="str">
        <f>IFERROR(VLOOKUP(U44,'4a. Parámetros de riesgo'!$D$31:$E$35,2,FALSE),IFERROR(VLOOKUP(U44,'4a. Parámetros de riesgo'!$J$31:$K$35,2,FALSE),""))</f>
        <v/>
      </c>
    </row>
    <row r="45" spans="2:22" ht="78" customHeight="1" x14ac:dyDescent="0.45">
      <c r="B45" s="341" t="s">
        <v>30</v>
      </c>
      <c r="C45" s="342" t="str">
        <f>'2a. Análisis Foda'!L38:L38</f>
        <v>Reducir el tiempo de entrega de la Credencial para Votar a la Ciudadanía para satisfacer su necesidad de realizar  algún trámite.</v>
      </c>
      <c r="D45" s="343" t="s">
        <v>74</v>
      </c>
      <c r="E45" s="280"/>
      <c r="F45" s="280"/>
      <c r="G45" s="280"/>
      <c r="H45" s="280"/>
      <c r="I45" s="280"/>
      <c r="J45" s="280"/>
      <c r="K45" s="280"/>
      <c r="L45" s="280"/>
      <c r="M45" s="280"/>
      <c r="N45" s="280"/>
      <c r="O45" s="281"/>
      <c r="P45" s="275"/>
      <c r="Q45" s="275"/>
      <c r="R45" s="275"/>
      <c r="S45" s="277" t="str">
        <f>IFERROR(VLOOKUP(P45,Naturaleza,2,FALSE)*VLOOKUP('4b. Matriz - Contexto'!Q45,Probabilidad,2,FALSE)*VLOOKUP('4b. Matriz - Contexto'!R45,Severidad,2,FALSE),"")</f>
        <v/>
      </c>
      <c r="T45" s="279" t="str">
        <f t="shared" si="2"/>
        <v/>
      </c>
      <c r="U45" s="276" t="str">
        <f>IFERROR(VLOOKUP(T45,'4a. Parámetros de riesgo'!$C$31:$D$35,2,FALSE),IFERROR(VLOOKUP(T45,'4a. Parámetros de riesgo'!$I$31:$J$35,2,FALSE),""))</f>
        <v/>
      </c>
      <c r="V45" s="278" t="str">
        <f>IFERROR(VLOOKUP(U45,'4a. Parámetros de riesgo'!$D$31:$E$35,2,FALSE),IFERROR(VLOOKUP(U45,'4a. Parámetros de riesgo'!$J$31:$K$35,2,FALSE),""))</f>
        <v/>
      </c>
    </row>
    <row r="46" spans="2:22" ht="70.5" customHeight="1" x14ac:dyDescent="0.45">
      <c r="B46" s="341" t="s">
        <v>30</v>
      </c>
      <c r="C46" s="342" t="str">
        <f>'2a. Análisis Foda'!L39:L39</f>
        <v>Gestionar con Instituciones que realicen detección de necesidades y evaluación de clima laboral.</v>
      </c>
      <c r="D46" s="343" t="s">
        <v>74</v>
      </c>
      <c r="E46" s="280"/>
      <c r="F46" s="280"/>
      <c r="G46" s="280"/>
      <c r="H46" s="280"/>
      <c r="I46" s="280"/>
      <c r="J46" s="280"/>
      <c r="K46" s="280"/>
      <c r="L46" s="280"/>
      <c r="M46" s="280"/>
      <c r="N46" s="280"/>
      <c r="O46" s="281"/>
      <c r="P46" s="275"/>
      <c r="Q46" s="275"/>
      <c r="R46" s="275"/>
      <c r="S46" s="277" t="str">
        <f>IFERROR(VLOOKUP(P46,Naturaleza,2,FALSE)*VLOOKUP('4b. Matriz - Contexto'!Q46,Probabilidad,2,FALSE)*VLOOKUP('4b. Matriz - Contexto'!R46,Severidad,2,FALSE),"")</f>
        <v/>
      </c>
      <c r="T46" s="279" t="str">
        <f t="shared" si="2"/>
        <v/>
      </c>
      <c r="U46" s="276" t="str">
        <f>IFERROR(VLOOKUP(T46,'4a. Parámetros de riesgo'!$C$31:$D$35,2,FALSE),IFERROR(VLOOKUP(T46,'4a. Parámetros de riesgo'!$I$31:$J$35,2,FALSE),""))</f>
        <v/>
      </c>
      <c r="V46" s="278" t="str">
        <f>IFERROR(VLOOKUP(U46,'4a. Parámetros de riesgo'!$D$31:$E$35,2,FALSE),IFERROR(VLOOKUP(U46,'4a. Parámetros de riesgo'!$J$31:$K$35,2,FALSE),""))</f>
        <v/>
      </c>
    </row>
    <row r="47" spans="2:22" ht="93" customHeight="1" x14ac:dyDescent="0.45">
      <c r="B47" s="341" t="s">
        <v>30</v>
      </c>
      <c r="C47" s="342" t="str">
        <f>'2a. Análisis Foda'!L40:L40</f>
        <v>La colaboración de las autoridades municipales para otorgar el uso de espacios que sirvan para operar Módulos de Atención Ciudadana itinerantes.</v>
      </c>
      <c r="D47" s="343" t="s">
        <v>74</v>
      </c>
      <c r="E47" s="280"/>
      <c r="F47" s="280"/>
      <c r="G47" s="280"/>
      <c r="H47" s="280"/>
      <c r="I47" s="280"/>
      <c r="J47" s="280"/>
      <c r="K47" s="280"/>
      <c r="L47" s="280"/>
      <c r="M47" s="280"/>
      <c r="N47" s="280"/>
      <c r="O47" s="281"/>
      <c r="P47" s="275"/>
      <c r="Q47" s="275"/>
      <c r="R47" s="275"/>
      <c r="S47" s="277" t="str">
        <f>IFERROR(VLOOKUP(P47,Naturaleza,2,FALSE)*VLOOKUP('4b. Matriz - Contexto'!Q47,Probabilidad,2,FALSE)*VLOOKUP('4b. Matriz - Contexto'!R47,Severidad,2,FALSE),"")</f>
        <v/>
      </c>
      <c r="T47" s="279" t="str">
        <f t="shared" si="2"/>
        <v/>
      </c>
      <c r="U47" s="276" t="str">
        <f>IFERROR(VLOOKUP(T47,'4a. Parámetros de riesgo'!$C$31:$D$35,2,FALSE),IFERROR(VLOOKUP(T47,'4a. Parámetros de riesgo'!$I$31:$J$35,2,FALSE),""))</f>
        <v/>
      </c>
      <c r="V47" s="278" t="str">
        <f>IFERROR(VLOOKUP(U47,'4a. Parámetros de riesgo'!$D$31:$E$35,2,FALSE),IFERROR(VLOOKUP(U47,'4a. Parámetros de riesgo'!$J$31:$K$35,2,FALSE),""))</f>
        <v/>
      </c>
    </row>
    <row r="48" spans="2:22" ht="70.5" customHeight="1" x14ac:dyDescent="0.45">
      <c r="B48" s="341" t="s">
        <v>30</v>
      </c>
      <c r="C48" s="342" t="str">
        <f>'2a. Análisis Foda'!L41:L41</f>
        <v>Fortalecer los vínculos con Instituciones de educación para aumentar las competencias del personal.</v>
      </c>
      <c r="D48" s="343" t="s">
        <v>74</v>
      </c>
      <c r="E48" s="280"/>
      <c r="F48" s="280"/>
      <c r="G48" s="280"/>
      <c r="H48" s="280"/>
      <c r="I48" s="280"/>
      <c r="J48" s="280"/>
      <c r="K48" s="280"/>
      <c r="L48" s="280"/>
      <c r="M48" s="280"/>
      <c r="N48" s="280"/>
      <c r="O48" s="281"/>
      <c r="P48" s="275"/>
      <c r="Q48" s="275"/>
      <c r="R48" s="275"/>
      <c r="S48" s="277" t="str">
        <f>IFERROR(VLOOKUP(P48,Naturaleza,2,FALSE)*VLOOKUP('4b. Matriz - Contexto'!Q48,Probabilidad,2,FALSE)*VLOOKUP('4b. Matriz - Contexto'!R48,Severidad,2,FALSE),"")</f>
        <v/>
      </c>
      <c r="T48" s="279" t="str">
        <f t="shared" si="2"/>
        <v/>
      </c>
      <c r="U48" s="276" t="str">
        <f>IFERROR(VLOOKUP(T48,'4a. Parámetros de riesgo'!$C$31:$D$35,2,FALSE),IFERROR(VLOOKUP(T48,'4a. Parámetros de riesgo'!$I$31:$J$35,2,FALSE),""))</f>
        <v/>
      </c>
      <c r="V48" s="278" t="str">
        <f>IFERROR(VLOOKUP(U48,'4a. Parámetros de riesgo'!$D$31:$E$35,2,FALSE),IFERROR(VLOOKUP(U48,'4a. Parámetros de riesgo'!$J$31:$K$35,2,FALSE),""))</f>
        <v/>
      </c>
    </row>
    <row r="49" spans="2:22" ht="111" customHeight="1" x14ac:dyDescent="0.45">
      <c r="B49" s="341" t="s">
        <v>30</v>
      </c>
      <c r="C49" s="342" t="str">
        <f>'2a. Análisis Foda'!L42:L42</f>
        <v>Realizar convenios con Instituciones competentes para la capacitación del personal en materia registral  y de Protección Civil,  en Junta Local Ejecutiva, Junta Distrital Ejecutiva y Módulos de Atención Ciudadana.</v>
      </c>
      <c r="D49" s="343" t="s">
        <v>74</v>
      </c>
      <c r="E49" s="280"/>
      <c r="F49" s="280"/>
      <c r="G49" s="280"/>
      <c r="H49" s="280"/>
      <c r="I49" s="280"/>
      <c r="J49" s="280"/>
      <c r="K49" s="280"/>
      <c r="L49" s="280"/>
      <c r="M49" s="280"/>
      <c r="N49" s="280"/>
      <c r="O49" s="281"/>
      <c r="P49" s="275"/>
      <c r="Q49" s="275"/>
      <c r="R49" s="275"/>
      <c r="S49" s="277" t="str">
        <f>IFERROR(VLOOKUP(P49,Naturaleza,2,FALSE)*VLOOKUP('4b. Matriz - Contexto'!Q49,Probabilidad,2,FALSE)*VLOOKUP('4b. Matriz - Contexto'!R49,Severidad,2,FALSE),"")</f>
        <v/>
      </c>
      <c r="T49" s="279" t="str">
        <f t="shared" si="2"/>
        <v/>
      </c>
      <c r="U49" s="276" t="str">
        <f>IFERROR(VLOOKUP(T49,'4a. Parámetros de riesgo'!$C$31:$D$35,2,FALSE),IFERROR(VLOOKUP(T49,'4a. Parámetros de riesgo'!$I$31:$J$35,2,FALSE),""))</f>
        <v/>
      </c>
      <c r="V49" s="278" t="str">
        <f>IFERROR(VLOOKUP(U49,'4a. Parámetros de riesgo'!$D$31:$E$35,2,FALSE),IFERROR(VLOOKUP(U49,'4a. Parámetros de riesgo'!$J$31:$K$35,2,FALSE),""))</f>
        <v/>
      </c>
    </row>
    <row r="50" spans="2:22" ht="84" customHeight="1" x14ac:dyDescent="0.45">
      <c r="B50" s="341" t="s">
        <v>30</v>
      </c>
      <c r="C50" s="342" t="str">
        <f>'2a. Análisis Foda'!L43:L43</f>
        <v>La posibilidad legal de que Ciudadanos mexicanos residentes en el extranjero puedan emitir su voto para diversos cargos.</v>
      </c>
      <c r="D50" s="343" t="s">
        <v>74</v>
      </c>
      <c r="E50" s="280"/>
      <c r="F50" s="280"/>
      <c r="G50" s="280"/>
      <c r="H50" s="280"/>
      <c r="I50" s="280"/>
      <c r="J50" s="280"/>
      <c r="K50" s="280"/>
      <c r="L50" s="280"/>
      <c r="M50" s="280"/>
      <c r="N50" s="280"/>
      <c r="O50" s="281"/>
      <c r="P50" s="275"/>
      <c r="Q50" s="275"/>
      <c r="R50" s="275"/>
      <c r="S50" s="277" t="str">
        <f>IFERROR(VLOOKUP(P50,Naturaleza,2,FALSE)*VLOOKUP('4b. Matriz - Contexto'!Q50,Probabilidad,2,FALSE)*VLOOKUP('4b. Matriz - Contexto'!R50,Severidad,2,FALSE),"")</f>
        <v/>
      </c>
      <c r="T50" s="279" t="str">
        <f t="shared" si="2"/>
        <v/>
      </c>
      <c r="U50" s="276" t="str">
        <f>IFERROR(VLOOKUP(T50,'4a. Parámetros de riesgo'!$C$31:$D$35,2,FALSE),IFERROR(VLOOKUP(T50,'4a. Parámetros de riesgo'!$I$31:$J$35,2,FALSE),""))</f>
        <v/>
      </c>
      <c r="V50" s="278" t="str">
        <f>IFERROR(VLOOKUP(U50,'4a. Parámetros de riesgo'!$D$31:$E$35,2,FALSE),IFERROR(VLOOKUP(U50,'4a. Parámetros de riesgo'!$J$31:$K$35,2,FALSE),""))</f>
        <v/>
      </c>
    </row>
    <row r="51" spans="2:22" ht="70.5" customHeight="1" x14ac:dyDescent="0.45">
      <c r="B51" s="341" t="s">
        <v>30</v>
      </c>
      <c r="C51" s="342" t="str">
        <f>'2a. Análisis Foda'!L44:L44</f>
        <v>Certificar los procesos de Módulos de Atención Ciudadana en ISO 9001:2015.</v>
      </c>
      <c r="D51" s="343" t="s">
        <v>74</v>
      </c>
      <c r="E51" s="280"/>
      <c r="F51" s="280"/>
      <c r="G51" s="280"/>
      <c r="H51" s="280"/>
      <c r="I51" s="280"/>
      <c r="J51" s="280"/>
      <c r="K51" s="280"/>
      <c r="L51" s="280"/>
      <c r="M51" s="280"/>
      <c r="N51" s="280"/>
      <c r="O51" s="281"/>
      <c r="P51" s="275"/>
      <c r="Q51" s="275"/>
      <c r="R51" s="275"/>
      <c r="S51" s="277" t="str">
        <f>IFERROR(VLOOKUP(P51,Naturaleza,2,FALSE)*VLOOKUP('4b. Matriz - Contexto'!Q51,Probabilidad,2,FALSE)*VLOOKUP('4b. Matriz - Contexto'!R51,Severidad,2,FALSE),"")</f>
        <v/>
      </c>
      <c r="T51" s="279" t="str">
        <f t="shared" si="2"/>
        <v/>
      </c>
      <c r="U51" s="276" t="str">
        <f>IFERROR(VLOOKUP(T51,'4a. Parámetros de riesgo'!$C$31:$D$35,2,FALSE),IFERROR(VLOOKUP(T51,'4a. Parámetros de riesgo'!$I$31:$J$35,2,FALSE),""))</f>
        <v/>
      </c>
      <c r="V51" s="278" t="str">
        <f>IFERROR(VLOOKUP(U51,'4a. Parámetros de riesgo'!$D$31:$E$35,2,FALSE),IFERROR(VLOOKUP(U51,'4a. Parámetros de riesgo'!$J$31:$K$35,2,FALSE),""))</f>
        <v/>
      </c>
    </row>
    <row r="52" spans="2:22" x14ac:dyDescent="0.45">
      <c r="V52" s="154"/>
    </row>
    <row r="53" spans="2:22" x14ac:dyDescent="0.45">
      <c r="V53" s="154"/>
    </row>
    <row r="54" spans="2:22" x14ac:dyDescent="0.45">
      <c r="V54" s="154"/>
    </row>
    <row r="55" spans="2:22" x14ac:dyDescent="0.45">
      <c r="V55" s="154"/>
    </row>
    <row r="56" spans="2:22" x14ac:dyDescent="0.45">
      <c r="V56" s="154"/>
    </row>
    <row r="57" spans="2:22" x14ac:dyDescent="0.45">
      <c r="V57" s="154"/>
    </row>
    <row r="58" spans="2:22" x14ac:dyDescent="0.45">
      <c r="V58" s="154"/>
    </row>
    <row r="59" spans="2:22" x14ac:dyDescent="0.45">
      <c r="V59" s="154"/>
    </row>
    <row r="60" spans="2:22" x14ac:dyDescent="0.45">
      <c r="V60" s="154"/>
    </row>
    <row r="61" spans="2:22" x14ac:dyDescent="0.45">
      <c r="V61" s="154"/>
    </row>
    <row r="62" spans="2:22" x14ac:dyDescent="0.45">
      <c r="V62" s="154"/>
    </row>
    <row r="63" spans="2:22" x14ac:dyDescent="0.45">
      <c r="V63" s="154"/>
    </row>
    <row r="64" spans="2:22" x14ac:dyDescent="0.45">
      <c r="V64" s="154"/>
    </row>
    <row r="65" spans="20:22" x14ac:dyDescent="0.45">
      <c r="V65" s="154"/>
    </row>
    <row r="66" spans="20:22" x14ac:dyDescent="0.45">
      <c r="V66" s="154"/>
    </row>
    <row r="67" spans="20:22" x14ac:dyDescent="0.45">
      <c r="V67" s="154"/>
    </row>
    <row r="68" spans="20:22" x14ac:dyDescent="0.45">
      <c r="V68" s="154"/>
    </row>
    <row r="69" spans="20:22" x14ac:dyDescent="0.45">
      <c r="V69" s="154"/>
    </row>
    <row r="70" spans="20:22" x14ac:dyDescent="0.45">
      <c r="V70" s="154"/>
    </row>
    <row r="71" spans="20:22" x14ac:dyDescent="0.45">
      <c r="V71" s="154"/>
    </row>
    <row r="72" spans="20:22" x14ac:dyDescent="0.45">
      <c r="V72" s="154"/>
    </row>
    <row r="73" spans="20:22" x14ac:dyDescent="0.45">
      <c r="V73" s="154"/>
    </row>
    <row r="74" spans="20:22" x14ac:dyDescent="0.45">
      <c r="V74" s="154"/>
    </row>
    <row r="75" spans="20:22" x14ac:dyDescent="0.45">
      <c r="V75" s="154"/>
    </row>
    <row r="76" spans="20:22" x14ac:dyDescent="0.45">
      <c r="V76" s="154"/>
    </row>
    <row r="77" spans="20:22" x14ac:dyDescent="0.45">
      <c r="V77" s="154"/>
    </row>
    <row r="78" spans="20:22" x14ac:dyDescent="0.45">
      <c r="T78" s="157"/>
      <c r="U78" s="158"/>
    </row>
  </sheetData>
  <protectedRanges>
    <protectedRange sqref="E33:O51" name="Rango1"/>
    <protectedRange sqref="V11:V51" name="Rango2"/>
    <protectedRange sqref="E32:O32 D42:D51 B42:B51 P32:R51 B32:D41 B11:R31" name="Rango1_1"/>
  </protectedRanges>
  <dataConsolidate/>
  <mergeCells count="19">
    <mergeCell ref="B2:B7"/>
    <mergeCell ref="B9:B10"/>
    <mergeCell ref="C9:C10"/>
    <mergeCell ref="D2:S3"/>
    <mergeCell ref="V9:V10"/>
    <mergeCell ref="D9:D10"/>
    <mergeCell ref="P9:P10"/>
    <mergeCell ref="Q9:Q10"/>
    <mergeCell ref="R9:R10"/>
    <mergeCell ref="S9:S10"/>
    <mergeCell ref="E9:O9"/>
    <mergeCell ref="D4:S5"/>
    <mergeCell ref="D6:S7"/>
    <mergeCell ref="C2:C7"/>
    <mergeCell ref="T9:T10"/>
    <mergeCell ref="U9:U10"/>
    <mergeCell ref="T2:U3"/>
    <mergeCell ref="T4:U5"/>
    <mergeCell ref="T6:U7"/>
  </mergeCells>
  <conditionalFormatting sqref="S12:S17 S19:S51">
    <cfRule type="cellIs" dxfId="69" priority="92" operator="equal">
      <formula>0</formula>
    </cfRule>
  </conditionalFormatting>
  <conditionalFormatting sqref="T9 T79:T1048576">
    <cfRule type="cellIs" dxfId="68" priority="88" operator="equal">
      <formula>"Intolerable"</formula>
    </cfRule>
    <cfRule type="cellIs" dxfId="67" priority="89" operator="equal">
      <formula>"Importante"</formula>
    </cfRule>
    <cfRule type="cellIs" dxfId="66" priority="90" operator="equal">
      <formula>"Moderado"</formula>
    </cfRule>
    <cfRule type="cellIs" dxfId="65" priority="91" operator="equal">
      <formula>"Tolerable"</formula>
    </cfRule>
  </conditionalFormatting>
  <conditionalFormatting sqref="U9">
    <cfRule type="cellIs" dxfId="64" priority="84" operator="equal">
      <formula>"Intolerable"</formula>
    </cfRule>
    <cfRule type="cellIs" dxfId="63" priority="85" operator="equal">
      <formula>"Importante"</formula>
    </cfRule>
    <cfRule type="cellIs" dxfId="62" priority="86" operator="equal">
      <formula>"Moderado"</formula>
    </cfRule>
    <cfRule type="cellIs" dxfId="61" priority="87" operator="equal">
      <formula>"Tolerable"</formula>
    </cfRule>
  </conditionalFormatting>
  <conditionalFormatting sqref="U11:U17 U19:U51">
    <cfRule type="cellIs" dxfId="60" priority="80" operator="equal">
      <formula>"Atención Inmediata"</formula>
    </cfRule>
    <cfRule type="cellIs" dxfId="59" priority="81" operator="equal">
      <formula>"Minimizarlo"</formula>
    </cfRule>
    <cfRule type="cellIs" dxfId="58" priority="82" operator="equal">
      <formula>"Controlarlo"</formula>
    </cfRule>
    <cfRule type="cellIs" dxfId="57" priority="83" operator="equal">
      <formula>"Asumirlo"</formula>
    </cfRule>
  </conditionalFormatting>
  <conditionalFormatting sqref="V9">
    <cfRule type="cellIs" dxfId="56" priority="76" operator="equal">
      <formula>"Intolerable"</formula>
    </cfRule>
    <cfRule type="cellIs" dxfId="55" priority="77" operator="equal">
      <formula>"Importante"</formula>
    </cfRule>
    <cfRule type="cellIs" dxfId="54" priority="78" operator="equal">
      <formula>"Moderado"</formula>
    </cfRule>
    <cfRule type="cellIs" dxfId="53" priority="79" operator="equal">
      <formula>"Tolerable"</formula>
    </cfRule>
  </conditionalFormatting>
  <conditionalFormatting sqref="U11:U17 U19:U78">
    <cfRule type="cellIs" dxfId="52" priority="58" operator="equal">
      <formula>"A CONSIDERAR"</formula>
    </cfRule>
    <cfRule type="containsText" dxfId="51" priority="59" operator="containsText" text="Explotarla">
      <formula>NOT(ISERROR(SEARCH("Explotarla",U11)))</formula>
    </cfRule>
    <cfRule type="containsText" dxfId="50" priority="60" operator="containsText" text="Apropiarse">
      <formula>NOT(ISERROR(SEARCH("Apropiarse",U11)))</formula>
    </cfRule>
    <cfRule type="containsText" dxfId="49" priority="61" operator="containsText" text="ABORDAR">
      <formula>NOT(ISERROR(SEARCH("ABORDAR",U11)))</formula>
    </cfRule>
    <cfRule type="containsText" dxfId="48" priority="62" operator="containsText" text="ANALIZAR">
      <formula>NOT(ISERROR(SEARCH("ANALIZAR",U11)))</formula>
    </cfRule>
    <cfRule type="cellIs" dxfId="47" priority="63" operator="equal">
      <formula>"Atención Inmediata"</formula>
    </cfRule>
    <cfRule type="cellIs" dxfId="46" priority="64" operator="equal">
      <formula>"Minimizarlo"</formula>
    </cfRule>
    <cfRule type="cellIs" dxfId="45" priority="65" operator="equal">
      <formula>"Controlarlo"</formula>
    </cfRule>
    <cfRule type="cellIs" dxfId="44" priority="66" operator="equal">
      <formula>"Asumirlo"</formula>
    </cfRule>
  </conditionalFormatting>
  <conditionalFormatting sqref="T78">
    <cfRule type="cellIs" dxfId="43" priority="53" operator="between">
      <formula>1</formula>
      <formula>199</formula>
    </cfRule>
  </conditionalFormatting>
  <conditionalFormatting sqref="T12:T17 T19:T78">
    <cfRule type="cellIs" dxfId="42" priority="49" operator="equal">
      <formula>"Limitada"</formula>
    </cfRule>
    <cfRule type="cellIs" dxfId="41" priority="50" operator="equal">
      <formula>"Media"</formula>
    </cfRule>
    <cfRule type="cellIs" dxfId="40" priority="51" operator="equal">
      <formula>"Potencial"</formula>
    </cfRule>
    <cfRule type="cellIs" dxfId="39" priority="52" operator="equal">
      <formula>"Tolerable"</formula>
    </cfRule>
    <cfRule type="cellIs" dxfId="38" priority="54" operator="equal">
      <formula>"Sobresaliente"</formula>
    </cfRule>
    <cfRule type="cellIs" dxfId="37" priority="55" operator="equal">
      <formula>"Moderado"</formula>
    </cfRule>
    <cfRule type="cellIs" dxfId="36" priority="56" operator="equal">
      <formula>"Importante"</formula>
    </cfRule>
    <cfRule type="cellIs" dxfId="35" priority="57" operator="equal">
      <formula>"Intolerable"</formula>
    </cfRule>
  </conditionalFormatting>
  <conditionalFormatting sqref="S11">
    <cfRule type="cellIs" dxfId="34" priority="48" operator="equal">
      <formula>0</formula>
    </cfRule>
  </conditionalFormatting>
  <conditionalFormatting sqref="T11">
    <cfRule type="cellIs" dxfId="33" priority="44" operator="equal">
      <formula>"Intolerable"</formula>
    </cfRule>
    <cfRule type="cellIs" dxfId="32" priority="45" operator="equal">
      <formula>"Importante"</formula>
    </cfRule>
    <cfRule type="cellIs" dxfId="31" priority="46" operator="equal">
      <formula>"Moderado"</formula>
    </cfRule>
    <cfRule type="cellIs" dxfId="30" priority="47" operator="equal">
      <formula>"Tolerable"</formula>
    </cfRule>
  </conditionalFormatting>
  <conditionalFormatting sqref="T11">
    <cfRule type="cellIs" dxfId="29" priority="23" operator="equal">
      <formula>"Limitada"</formula>
    </cfRule>
    <cfRule type="cellIs" dxfId="28" priority="24" operator="equal">
      <formula>"Media"</formula>
    </cfRule>
    <cfRule type="cellIs" dxfId="27" priority="25" operator="equal">
      <formula>"Potencial"</formula>
    </cfRule>
    <cfRule type="cellIs" dxfId="26" priority="26" operator="equal">
      <formula>"Tolerable"</formula>
    </cfRule>
    <cfRule type="cellIs" dxfId="25" priority="27" operator="equal">
      <formula>"Sobresaliente"</formula>
    </cfRule>
    <cfRule type="cellIs" dxfId="24" priority="28" operator="equal">
      <formula>"Moderado"</formula>
    </cfRule>
    <cfRule type="cellIs" dxfId="23" priority="29" operator="equal">
      <formula>"Importante"</formula>
    </cfRule>
    <cfRule type="cellIs" dxfId="22" priority="30" operator="equal">
      <formula>"Intolerable"</formula>
    </cfRule>
  </conditionalFormatting>
  <conditionalFormatting sqref="S18">
    <cfRule type="cellIs" dxfId="21" priority="22" operator="equal">
      <formula>0</formula>
    </cfRule>
  </conditionalFormatting>
  <conditionalFormatting sqref="U18">
    <cfRule type="cellIs" dxfId="20" priority="18" operator="equal">
      <formula>"Atención Inmediata"</formula>
    </cfRule>
    <cfRule type="cellIs" dxfId="19" priority="19" operator="equal">
      <formula>"Minimizarlo"</formula>
    </cfRule>
    <cfRule type="cellIs" dxfId="18" priority="20" operator="equal">
      <formula>"Controlarlo"</formula>
    </cfRule>
    <cfRule type="cellIs" dxfId="17" priority="21" operator="equal">
      <formula>"Asumirlo"</formula>
    </cfRule>
  </conditionalFormatting>
  <conditionalFormatting sqref="U18">
    <cfRule type="cellIs" dxfId="16" priority="9" operator="equal">
      <formula>"A CONSIDERAR"</formula>
    </cfRule>
    <cfRule type="containsText" dxfId="15" priority="10" operator="containsText" text="Explotarla">
      <formula>NOT(ISERROR(SEARCH("Explotarla",U18)))</formula>
    </cfRule>
    <cfRule type="containsText" dxfId="14" priority="11" operator="containsText" text="Apropiarse">
      <formula>NOT(ISERROR(SEARCH("Apropiarse",U18)))</formula>
    </cfRule>
    <cfRule type="containsText" dxfId="13" priority="12" operator="containsText" text="ABORDAR">
      <formula>NOT(ISERROR(SEARCH("ABORDAR",U18)))</formula>
    </cfRule>
    <cfRule type="containsText" dxfId="12" priority="13" operator="containsText" text="ANALIZAR">
      <formula>NOT(ISERROR(SEARCH("ANALIZAR",U18)))</formula>
    </cfRule>
    <cfRule type="cellIs" dxfId="11" priority="14" operator="equal">
      <formula>"Atención Inmediata"</formula>
    </cfRule>
    <cfRule type="cellIs" dxfId="10" priority="15" operator="equal">
      <formula>"Minimizarlo"</formula>
    </cfRule>
    <cfRule type="cellIs" dxfId="9" priority="16" operator="equal">
      <formula>"Controlarlo"</formula>
    </cfRule>
    <cfRule type="cellIs" dxfId="8" priority="17" operator="equal">
      <formula>"Asumirlo"</formula>
    </cfRule>
  </conditionalFormatting>
  <conditionalFormatting sqref="T18">
    <cfRule type="cellIs" dxfId="7" priority="1" operator="equal">
      <formula>"Limitada"</formula>
    </cfRule>
    <cfRule type="cellIs" dxfId="6" priority="2" operator="equal">
      <formula>"Media"</formula>
    </cfRule>
    <cfRule type="cellIs" dxfId="5" priority="3" operator="equal">
      <formula>"Potencial"</formula>
    </cfRule>
    <cfRule type="cellIs" dxfId="4" priority="4" operator="equal">
      <formula>"Tolerable"</formula>
    </cfRule>
    <cfRule type="cellIs" dxfId="3" priority="5" operator="equal">
      <formula>"Sobresaliente"</formula>
    </cfRule>
    <cfRule type="cellIs" dxfId="2" priority="6" operator="equal">
      <formula>"Moderado"</formula>
    </cfRule>
    <cfRule type="cellIs" dxfId="1" priority="7" operator="equal">
      <formula>"Importante"</formula>
    </cfRule>
    <cfRule type="cellIs" dxfId="0" priority="8" operator="equal">
      <formula>"Intolerable"</formula>
    </cfRule>
  </conditionalFormatting>
  <dataValidations count="7">
    <dataValidation type="list" allowBlank="1" showInputMessage="1" showErrorMessage="1" sqref="P22:P26" xr:uid="{00000000-0002-0000-0800-000000000000}">
      <formula1>"Político, Social/Cultural, Industrial, Operativo, Institucional, Financiera, Ambiental, Legal y Reglamentario, Salud"</formula1>
    </dataValidation>
    <dataValidation type="list" allowBlank="1" showInputMessage="1" showErrorMessage="1" sqref="P11:P21 P27:P51" xr:uid="{00000000-0002-0000-0800-000001000000}">
      <formula1>"Tecnológicos, Político, Social/Cultural, Industrial, Operativo, Institucional, Financiera, Ambiental, Legal y Reglamentario, Salud"</formula1>
    </dataValidation>
    <dataValidation type="list" allowBlank="1" showInputMessage="1" showErrorMessage="1" sqref="R11:R51" xr:uid="{00000000-0002-0000-0800-000002000000}">
      <formula1>"Menor, Moderado, Grave, Importante"</formula1>
    </dataValidation>
    <dataValidation type="list" allowBlank="1" showInputMessage="1" showErrorMessage="1" sqref="Q11:Q51" xr:uid="{00000000-0002-0000-0800-000003000000}">
      <formula1>"Baja, Media, Alta"</formula1>
    </dataValidation>
    <dataValidation type="list" allowBlank="1" showInputMessage="1" showErrorMessage="1" sqref="D11:D51" xr:uid="{00000000-0002-0000-0800-000004000000}">
      <formula1>"Positivo,Negativo"</formula1>
    </dataValidation>
    <dataValidation type="list" allowBlank="1" showInputMessage="1" showErrorMessage="1" sqref="E11:O51" xr:uid="{00000000-0002-0000-0800-000005000000}">
      <formula1>"X"</formula1>
    </dataValidation>
    <dataValidation type="list" allowBlank="1" showInputMessage="1" showErrorMessage="1" sqref="B11:B51" xr:uid="{00000000-0002-0000-0800-000006000000}">
      <formula1>"Fortaleza,Oportunidad,Debilidad,Amenaza"</formula1>
    </dataValidation>
  </dataValidations>
  <printOptions horizontalCentered="1"/>
  <pageMargins left="0.51181102362204722" right="0.51181102362204722" top="0.82677165354330717" bottom="0.74803149606299213" header="0.31496062992125984" footer="0.31496062992125984"/>
  <pageSetup scale="26" fitToHeight="0" orientation="landscape" r:id="rId1"/>
  <headerFooter>
    <oddFooter>&amp;R&amp;"Arial,Normal"&amp;18Página &amp;P de &amp;N</oddFooter>
  </headerFooter>
  <rowBreaks count="1" manualBreakCount="1">
    <brk id="31" max="16383" man="1"/>
  </rowBreaks>
  <ignoredErrors>
    <ignoredError sqref="C11:C25 C26:C29 C30:C42 V11:V51 C44:C51"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view="pageLayout" topLeftCell="B1" zoomScaleNormal="60" workbookViewId="0">
      <selection activeCell="E3" sqref="E3"/>
    </sheetView>
  </sheetViews>
  <sheetFormatPr baseColWidth="10" defaultColWidth="11.3984375" defaultRowHeight="13.5" x14ac:dyDescent="0.35"/>
  <cols>
    <col min="1" max="2" width="15.73046875" style="50" customWidth="1"/>
    <col min="3" max="3" width="15.73046875" style="50" hidden="1" customWidth="1"/>
    <col min="4" max="4" width="31.1328125" style="50" customWidth="1"/>
    <col min="5" max="5" width="108.86328125" style="50" customWidth="1"/>
    <col min="6" max="16384" width="11.3984375" style="50"/>
  </cols>
  <sheetData>
    <row r="1" spans="1:5" ht="18.399999999999999" thickTop="1" thickBot="1" x14ac:dyDescent="0.4">
      <c r="A1" s="660" t="s">
        <v>178</v>
      </c>
      <c r="B1" s="661"/>
      <c r="C1" s="661"/>
      <c r="D1" s="661"/>
      <c r="E1" s="662"/>
    </row>
    <row r="2" spans="1:5" ht="33" customHeight="1" thickTop="1" thickBot="1" x14ac:dyDescent="0.4">
      <c r="A2" s="75" t="s">
        <v>102</v>
      </c>
      <c r="B2" s="76" t="s">
        <v>101</v>
      </c>
      <c r="C2" s="76"/>
      <c r="D2" s="77" t="s">
        <v>100</v>
      </c>
      <c r="E2" s="78" t="s">
        <v>99</v>
      </c>
    </row>
    <row r="3" spans="1:5" ht="164.25" customHeight="1" thickTop="1" x14ac:dyDescent="0.35">
      <c r="A3" s="51" t="s">
        <v>41</v>
      </c>
      <c r="B3" s="52" t="s">
        <v>76</v>
      </c>
      <c r="C3" s="53" t="s">
        <v>90</v>
      </c>
      <c r="D3" s="54" t="s">
        <v>150</v>
      </c>
      <c r="E3" s="55" t="s">
        <v>295</v>
      </c>
    </row>
    <row r="4" spans="1:5" ht="184.5" customHeight="1" x14ac:dyDescent="0.35">
      <c r="A4" s="56" t="s">
        <v>115</v>
      </c>
      <c r="B4" s="57" t="s">
        <v>76</v>
      </c>
      <c r="C4" s="58" t="s">
        <v>88</v>
      </c>
      <c r="D4" s="59" t="s">
        <v>151</v>
      </c>
      <c r="E4" s="60" t="s">
        <v>166</v>
      </c>
    </row>
    <row r="5" spans="1:5" ht="175.5" x14ac:dyDescent="0.35">
      <c r="A5" s="61" t="s">
        <v>116</v>
      </c>
      <c r="B5" s="57" t="s">
        <v>76</v>
      </c>
      <c r="C5" s="58" t="s">
        <v>86</v>
      </c>
      <c r="D5" s="62" t="s">
        <v>152</v>
      </c>
      <c r="E5" s="60" t="s">
        <v>167</v>
      </c>
    </row>
    <row r="6" spans="1:5" ht="199.5" customHeight="1" x14ac:dyDescent="0.35">
      <c r="A6" s="63" t="s">
        <v>36</v>
      </c>
      <c r="B6" s="57" t="s">
        <v>76</v>
      </c>
      <c r="C6" s="58" t="s">
        <v>84</v>
      </c>
      <c r="D6" s="64" t="s">
        <v>153</v>
      </c>
      <c r="E6" s="60" t="s">
        <v>168</v>
      </c>
    </row>
    <row r="7" spans="1:5" ht="219" customHeight="1" x14ac:dyDescent="0.35">
      <c r="A7" s="51" t="s">
        <v>41</v>
      </c>
      <c r="B7" s="65" t="s">
        <v>148</v>
      </c>
      <c r="C7" s="58" t="s">
        <v>98</v>
      </c>
      <c r="D7" s="66" t="s">
        <v>154</v>
      </c>
      <c r="E7" s="60" t="s">
        <v>169</v>
      </c>
    </row>
    <row r="8" spans="1:5" ht="231.75" customHeight="1" x14ac:dyDescent="0.35">
      <c r="A8" s="56" t="s">
        <v>115</v>
      </c>
      <c r="B8" s="65" t="s">
        <v>148</v>
      </c>
      <c r="C8" s="58" t="s">
        <v>97</v>
      </c>
      <c r="D8" s="59" t="s">
        <v>155</v>
      </c>
      <c r="E8" s="60" t="s">
        <v>170</v>
      </c>
    </row>
    <row r="9" spans="1:5" ht="180.75" customHeight="1" x14ac:dyDescent="0.35">
      <c r="A9" s="67" t="s">
        <v>116</v>
      </c>
      <c r="B9" s="65" t="s">
        <v>148</v>
      </c>
      <c r="C9" s="58" t="s">
        <v>96</v>
      </c>
      <c r="D9" s="62" t="s">
        <v>156</v>
      </c>
      <c r="E9" s="60" t="s">
        <v>171</v>
      </c>
    </row>
    <row r="10" spans="1:5" ht="203.25" customHeight="1" x14ac:dyDescent="0.35">
      <c r="A10" s="63" t="s">
        <v>36</v>
      </c>
      <c r="B10" s="65" t="s">
        <v>148</v>
      </c>
      <c r="C10" s="58" t="s">
        <v>95</v>
      </c>
      <c r="D10" s="64" t="s">
        <v>157</v>
      </c>
      <c r="E10" s="60" t="s">
        <v>172</v>
      </c>
    </row>
    <row r="11" spans="1:5" ht="218.25" customHeight="1" x14ac:dyDescent="0.35">
      <c r="A11" s="51" t="s">
        <v>41</v>
      </c>
      <c r="B11" s="68" t="s">
        <v>149</v>
      </c>
      <c r="C11" s="58" t="s">
        <v>94</v>
      </c>
      <c r="D11" s="66" t="s">
        <v>158</v>
      </c>
      <c r="E11" s="60" t="s">
        <v>173</v>
      </c>
    </row>
    <row r="12" spans="1:5" ht="213.75" customHeight="1" x14ac:dyDescent="0.35">
      <c r="A12" s="56" t="s">
        <v>115</v>
      </c>
      <c r="B12" s="68" t="s">
        <v>149</v>
      </c>
      <c r="C12" s="58" t="s">
        <v>93</v>
      </c>
      <c r="D12" s="59" t="s">
        <v>159</v>
      </c>
      <c r="E12" s="60" t="s">
        <v>174</v>
      </c>
    </row>
    <row r="13" spans="1:5" ht="238.5" customHeight="1" x14ac:dyDescent="0.35">
      <c r="A13" s="61" t="s">
        <v>116</v>
      </c>
      <c r="B13" s="68" t="s">
        <v>149</v>
      </c>
      <c r="C13" s="58" t="s">
        <v>92</v>
      </c>
      <c r="D13" s="62" t="s">
        <v>160</v>
      </c>
      <c r="E13" s="60" t="s">
        <v>175</v>
      </c>
    </row>
    <row r="14" spans="1:5" ht="240.75" customHeight="1" x14ac:dyDescent="0.35">
      <c r="A14" s="63" t="s">
        <v>36</v>
      </c>
      <c r="B14" s="68" t="s">
        <v>149</v>
      </c>
      <c r="C14" s="58" t="s">
        <v>91</v>
      </c>
      <c r="D14" s="64" t="s">
        <v>161</v>
      </c>
      <c r="E14" s="60" t="s">
        <v>176</v>
      </c>
    </row>
    <row r="15" spans="1:5" ht="163.5" customHeight="1" x14ac:dyDescent="0.35">
      <c r="A15" s="51" t="s">
        <v>41</v>
      </c>
      <c r="B15" s="69" t="s">
        <v>80</v>
      </c>
      <c r="C15" s="58" t="s">
        <v>89</v>
      </c>
      <c r="D15" s="66" t="s">
        <v>162</v>
      </c>
      <c r="E15" s="60" t="s">
        <v>177</v>
      </c>
    </row>
    <row r="16" spans="1:5" ht="180.75" customHeight="1" x14ac:dyDescent="0.35">
      <c r="A16" s="56" t="s">
        <v>115</v>
      </c>
      <c r="B16" s="69" t="s">
        <v>80</v>
      </c>
      <c r="C16" s="58" t="s">
        <v>87</v>
      </c>
      <c r="D16" s="59" t="s">
        <v>163</v>
      </c>
      <c r="E16" s="60" t="s">
        <v>177</v>
      </c>
    </row>
    <row r="17" spans="1:5" ht="174.75" customHeight="1" x14ac:dyDescent="0.35">
      <c r="A17" s="61" t="s">
        <v>116</v>
      </c>
      <c r="B17" s="69" t="s">
        <v>80</v>
      </c>
      <c r="C17" s="58" t="s">
        <v>85</v>
      </c>
      <c r="D17" s="62" t="s">
        <v>164</v>
      </c>
      <c r="E17" s="60" t="s">
        <v>177</v>
      </c>
    </row>
    <row r="18" spans="1:5" ht="190.5" customHeight="1" thickBot="1" x14ac:dyDescent="0.4">
      <c r="A18" s="70" t="s">
        <v>36</v>
      </c>
      <c r="B18" s="71" t="s">
        <v>80</v>
      </c>
      <c r="C18" s="72" t="s">
        <v>83</v>
      </c>
      <c r="D18" s="73" t="s">
        <v>165</v>
      </c>
      <c r="E18" s="74" t="s">
        <v>177</v>
      </c>
    </row>
    <row r="19" spans="1:5" ht="13.9" thickTop="1" x14ac:dyDescent="0.35"/>
  </sheetData>
  <mergeCells count="1">
    <mergeCell ref="A1:E1"/>
  </mergeCells>
  <pageMargins left="0.98425196850393704" right="0.98425196850393704" top="1.2350000000000001" bottom="1.1811023622047245" header="0.59055118110236227" footer="0.59055118110236227"/>
  <pageSetup scale="48" orientation="portrait" r:id="rId1"/>
  <headerFooter>
    <oddHeader>&amp;L&amp;G&amp;C&amp;"Arial,Negrita"&amp;18Plan Estratégico 
de la 
Organización</oddHead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6"/>
  <dimension ref="A1:Q13"/>
  <sheetViews>
    <sheetView zoomScaleNormal="100" workbookViewId="0">
      <selection activeCell="B3" sqref="B3"/>
    </sheetView>
  </sheetViews>
  <sheetFormatPr baseColWidth="10" defaultColWidth="11.3984375" defaultRowHeight="14.25" x14ac:dyDescent="0.45"/>
  <cols>
    <col min="1" max="1" width="14.1328125" customWidth="1"/>
  </cols>
  <sheetData>
    <row r="1" spans="1:17" x14ac:dyDescent="0.45">
      <c r="A1" s="663" t="s">
        <v>11</v>
      </c>
      <c r="B1" s="664"/>
      <c r="D1" s="663" t="s">
        <v>214</v>
      </c>
      <c r="E1" s="664"/>
      <c r="G1" s="663" t="s">
        <v>29</v>
      </c>
      <c r="H1" s="664"/>
      <c r="J1" s="2"/>
      <c r="K1" s="2"/>
      <c r="L1" s="2"/>
      <c r="M1" s="2"/>
      <c r="N1" s="2"/>
      <c r="O1" s="2"/>
      <c r="P1" s="2"/>
      <c r="Q1" s="2"/>
    </row>
    <row r="2" spans="1:17" x14ac:dyDescent="0.45">
      <c r="A2" s="1" t="s">
        <v>8</v>
      </c>
      <c r="B2">
        <v>5</v>
      </c>
      <c r="D2" s="1" t="s">
        <v>17</v>
      </c>
      <c r="E2">
        <v>1</v>
      </c>
      <c r="G2" s="3" t="s">
        <v>215</v>
      </c>
      <c r="H2">
        <v>1</v>
      </c>
      <c r="J2" s="5"/>
      <c r="K2" s="5"/>
      <c r="L2" s="5"/>
      <c r="M2" s="5"/>
      <c r="N2" s="5"/>
      <c r="O2" s="5"/>
      <c r="P2" s="5"/>
      <c r="Q2" s="5"/>
    </row>
    <row r="3" spans="1:17" x14ac:dyDescent="0.45">
      <c r="A3" s="1" t="s">
        <v>6</v>
      </c>
      <c r="B3">
        <v>5</v>
      </c>
      <c r="D3" s="1" t="s">
        <v>16</v>
      </c>
      <c r="E3">
        <v>7</v>
      </c>
      <c r="G3" s="3" t="s">
        <v>4</v>
      </c>
      <c r="H3">
        <v>7</v>
      </c>
      <c r="J3" s="5"/>
      <c r="K3" s="5"/>
      <c r="L3" s="5"/>
      <c r="M3" s="5"/>
      <c r="N3" s="5"/>
      <c r="O3" s="5"/>
      <c r="P3" s="5"/>
      <c r="Q3" s="5"/>
    </row>
    <row r="4" spans="1:17" ht="15" customHeight="1" x14ac:dyDescent="0.45">
      <c r="A4" s="1" t="s">
        <v>5</v>
      </c>
      <c r="B4">
        <v>10</v>
      </c>
      <c r="D4" s="1" t="s">
        <v>13</v>
      </c>
      <c r="E4">
        <v>10</v>
      </c>
      <c r="G4" s="3" t="s">
        <v>15</v>
      </c>
      <c r="H4">
        <v>10</v>
      </c>
      <c r="J4" s="5"/>
      <c r="K4" s="5"/>
      <c r="L4" s="6"/>
      <c r="M4" s="6"/>
      <c r="N4" s="6"/>
      <c r="O4" s="6"/>
      <c r="P4" s="6"/>
      <c r="Q4" s="6"/>
    </row>
    <row r="5" spans="1:17" ht="15" customHeight="1" x14ac:dyDescent="0.45">
      <c r="A5" s="1" t="s">
        <v>213</v>
      </c>
      <c r="B5">
        <v>8</v>
      </c>
      <c r="G5" s="3" t="s">
        <v>216</v>
      </c>
      <c r="H5">
        <v>10</v>
      </c>
      <c r="J5" s="5"/>
      <c r="K5" s="5"/>
      <c r="L5" s="6"/>
      <c r="M5" s="6"/>
      <c r="N5" s="6"/>
      <c r="O5" s="6"/>
      <c r="P5" s="6"/>
      <c r="Q5" s="6"/>
    </row>
    <row r="6" spans="1:17" x14ac:dyDescent="0.45">
      <c r="A6" s="1" t="s">
        <v>7</v>
      </c>
      <c r="B6">
        <v>7</v>
      </c>
      <c r="J6" s="5"/>
      <c r="K6" s="5"/>
      <c r="L6" s="5"/>
      <c r="M6" s="5"/>
      <c r="N6" s="5"/>
      <c r="O6" s="5"/>
      <c r="P6" s="5"/>
      <c r="Q6" s="5"/>
    </row>
    <row r="7" spans="1:17" x14ac:dyDescent="0.45">
      <c r="A7" s="1" t="s">
        <v>9</v>
      </c>
      <c r="B7">
        <v>8</v>
      </c>
      <c r="J7" s="5"/>
      <c r="K7" s="5"/>
      <c r="L7" s="5"/>
      <c r="M7" s="5"/>
      <c r="N7" s="5"/>
      <c r="O7" s="5"/>
      <c r="P7" s="5"/>
      <c r="Q7" s="5"/>
    </row>
    <row r="8" spans="1:17" ht="28.5" x14ac:dyDescent="0.45">
      <c r="A8" s="1" t="s">
        <v>10</v>
      </c>
      <c r="B8">
        <v>9</v>
      </c>
      <c r="J8" s="2"/>
      <c r="K8" s="2"/>
      <c r="L8" s="2"/>
      <c r="M8" s="2"/>
      <c r="N8" s="2"/>
      <c r="O8" s="2"/>
      <c r="P8" s="2"/>
      <c r="Q8" s="2"/>
    </row>
    <row r="9" spans="1:17" x14ac:dyDescent="0.45">
      <c r="A9" s="1" t="s">
        <v>12</v>
      </c>
      <c r="B9">
        <v>10</v>
      </c>
      <c r="J9" s="2"/>
      <c r="K9" s="2"/>
      <c r="L9" s="2"/>
      <c r="M9" s="2"/>
      <c r="N9" s="2"/>
      <c r="O9" s="2"/>
      <c r="P9" s="2"/>
      <c r="Q9" s="2"/>
    </row>
    <row r="10" spans="1:17" x14ac:dyDescent="0.45">
      <c r="A10" s="3" t="s">
        <v>217</v>
      </c>
      <c r="B10">
        <v>6</v>
      </c>
      <c r="J10" s="2"/>
      <c r="K10" s="2"/>
      <c r="L10" s="2"/>
      <c r="M10" s="2"/>
      <c r="N10" s="2"/>
      <c r="O10" s="2"/>
      <c r="P10" s="2"/>
      <c r="Q10" s="2"/>
    </row>
    <row r="11" spans="1:17" x14ac:dyDescent="0.45">
      <c r="A11" s="3" t="s">
        <v>218</v>
      </c>
      <c r="B11">
        <v>6</v>
      </c>
      <c r="J11" s="2"/>
      <c r="K11" s="2"/>
      <c r="L11" s="2"/>
      <c r="M11" s="2"/>
      <c r="N11" s="2"/>
      <c r="O11" s="2"/>
      <c r="P11" s="2"/>
      <c r="Q11" s="2"/>
    </row>
    <row r="12" spans="1:17" x14ac:dyDescent="0.45">
      <c r="J12" s="2"/>
      <c r="K12" s="2"/>
      <c r="L12" s="2"/>
      <c r="M12" s="2"/>
      <c r="N12" s="2"/>
      <c r="O12" s="2"/>
      <c r="P12" s="2"/>
      <c r="Q12" s="2"/>
    </row>
    <row r="13" spans="1:17" x14ac:dyDescent="0.45">
      <c r="I13" s="4"/>
      <c r="J13" s="2"/>
      <c r="K13" s="2"/>
      <c r="L13" s="2"/>
      <c r="M13" s="2"/>
      <c r="N13" s="2"/>
      <c r="O13" s="2"/>
      <c r="P13" s="2"/>
      <c r="Q13" s="2"/>
    </row>
  </sheetData>
  <mergeCells count="3">
    <mergeCell ref="G1:H1"/>
    <mergeCell ref="A1:B1"/>
    <mergeCell ref="D1:E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5903F3DE8E0DF4ABF6A82CC063D13C6" ma:contentTypeVersion="7" ma:contentTypeDescription="Crear nuevo documento." ma:contentTypeScope="" ma:versionID="0df2fc2f045d833b8b6aadd4dd796bba">
  <xsd:schema xmlns:xsd="http://www.w3.org/2001/XMLSchema" xmlns:xs="http://www.w3.org/2001/XMLSchema" xmlns:p="http://schemas.microsoft.com/office/2006/metadata/properties" xmlns:ns3="5667a92c-bc4b-46e3-9791-59a40249e89f" targetNamespace="http://schemas.microsoft.com/office/2006/metadata/properties" ma:root="true" ma:fieldsID="bde769f535c74a8576e9a0c21c444fcf" ns3:_="">
    <xsd:import namespace="5667a92c-bc4b-46e3-9791-59a40249e89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67a92c-bc4b-46e3-9791-59a40249e8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282B536-9CD1-44A0-A8B8-DFBFFD4BEAA0}">
  <ds:schemaRefs>
    <ds:schemaRef ds:uri="http://schemas.microsoft.com/sharepoint/v3/contenttype/forms"/>
  </ds:schemaRefs>
</ds:datastoreItem>
</file>

<file path=customXml/itemProps2.xml><?xml version="1.0" encoding="utf-8"?>
<ds:datastoreItem xmlns:ds="http://schemas.openxmlformats.org/officeDocument/2006/customXml" ds:itemID="{A1EA6721-2CB1-4680-A240-7675FCC658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67a92c-bc4b-46e3-9791-59a40249e8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1322DC-2779-4F83-8F7A-BFC1CA276713}">
  <ds:schemaRefs>
    <ds:schemaRef ds:uri="http://purl.org/dc/dcmitype/"/>
    <ds:schemaRef ds:uri="http://purl.org/dc/elements/1.1/"/>
    <ds:schemaRef ds:uri="http://schemas.openxmlformats.org/package/2006/metadata/core-properties"/>
    <ds:schemaRef ds:uri="http://schemas.microsoft.com/office/infopath/2007/PartnerControls"/>
    <ds:schemaRef ds:uri="http://www.w3.org/XML/1998/namespace"/>
    <ds:schemaRef ds:uri="http://schemas.microsoft.com/office/2006/documentManagement/types"/>
    <ds:schemaRef ds:uri="5667a92c-bc4b-46e3-9791-59a40249e89f"/>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15</vt:i4>
      </vt:variant>
    </vt:vector>
  </HeadingPairs>
  <TitlesOfParts>
    <vt:vector size="26" baseType="lpstr">
      <vt:lpstr>INDICE</vt:lpstr>
      <vt:lpstr>INTRO</vt:lpstr>
      <vt:lpstr>1a. Misión, Visión</vt:lpstr>
      <vt:lpstr>1b. Política y Objetivos</vt:lpstr>
      <vt:lpstr>2a. Análisis Foda</vt:lpstr>
      <vt:lpstr>2b. Matriz Posicionamiento</vt:lpstr>
      <vt:lpstr>3a.Matríz de Partes Interesadas</vt:lpstr>
      <vt:lpstr>4a. Parámetros de riesgo</vt:lpstr>
      <vt:lpstr>4b. Matriz - Contexto</vt:lpstr>
      <vt:lpstr>Perfiles</vt:lpstr>
      <vt:lpstr>Ponderación</vt:lpstr>
      <vt:lpstr>'1a. Misión, Visión'!Área_de_impresión</vt:lpstr>
      <vt:lpstr>'1b. Política y Objetivos'!Área_de_impresión</vt:lpstr>
      <vt:lpstr>'2a. Análisis Foda'!Área_de_impresión</vt:lpstr>
      <vt:lpstr>'2b. Matriz Posicionamiento'!Área_de_impresión</vt:lpstr>
      <vt:lpstr>'3a.Matríz de Partes Interesadas'!Área_de_impresión</vt:lpstr>
      <vt:lpstr>'4b. Matriz - Contexto'!Área_de_impresión</vt:lpstr>
      <vt:lpstr>INDICE!Área_de_impresión</vt:lpstr>
      <vt:lpstr>INTRO!Área_de_impresión</vt:lpstr>
      <vt:lpstr>Naturaleza</vt:lpstr>
      <vt:lpstr>Probabilidad</vt:lpstr>
      <vt:lpstr>Severidad</vt:lpstr>
      <vt:lpstr>'2a. Análisis Foda'!Títulos_a_imprimir</vt:lpstr>
      <vt:lpstr>'3a.Matríz de Partes Interesadas'!Títulos_a_imprimir</vt:lpstr>
      <vt:lpstr>'4a. Parámetros de riesgo'!Títulos_a_imprimir</vt:lpstr>
      <vt:lpstr>'4b. Matriz - Contexto'!Títulos_a_imprimir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ricardo.sanchezs@ine.mx</dc:creator>
  <cp:lastModifiedBy>MARIA MALDONADO</cp:lastModifiedBy>
  <cp:lastPrinted>2020-06-22T23:37:27Z</cp:lastPrinted>
  <dcterms:created xsi:type="dcterms:W3CDTF">2016-06-29T13:31:45Z</dcterms:created>
  <dcterms:modified xsi:type="dcterms:W3CDTF">2020-07-23T19:37:48Z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0x010100D5903F3DE8E0DF4ABF6A82CC063D13C6</vt:lpwstr>
  </property>
</Properties>
</file>